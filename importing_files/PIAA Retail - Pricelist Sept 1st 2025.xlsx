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ditions" sheetId="1" r:id="rId4"/>
    <sheet state="visible" name="PIAA AUD Wholesale " sheetId="2" r:id="rId5"/>
    <sheet state="visible" name="Lamp Spec" sheetId="3" r:id="rId6"/>
    <sheet state="visible" name="DIMS Updated" sheetId="4" r:id="rId7"/>
    <sheet state="visible" name="DIMS for Freight Only" sheetId="5" r:id="rId8"/>
  </sheets>
  <definedNames/>
  <calcPr/>
  <extLst>
    <ext uri="GoogleSheetsCustomDataVersion2">
      <go:sheetsCustomData xmlns:go="http://customooxmlschemas.google.com/" r:id="rId9" roundtripDataChecksum="iNSKGdWjGZKd1ge3poKypIAeSozqG4DVUvYKOxjz8HQ="/>
    </ext>
  </extLst>
</workbook>
</file>

<file path=xl/sharedStrings.xml><?xml version="1.0" encoding="utf-8"?>
<sst xmlns="http://schemas.openxmlformats.org/spreadsheetml/2006/main" count="1617" uniqueCount="441">
  <si>
    <t>GENERAL CONDITIONS</t>
  </si>
  <si>
    <t>Date</t>
  </si>
  <si>
    <t>DATE:</t>
  </si>
  <si>
    <t>TO:</t>
  </si>
  <si>
    <t xml:space="preserve">Race and Rally Australia </t>
  </si>
  <si>
    <t>Quoted By:</t>
  </si>
  <si>
    <t>KI</t>
  </si>
  <si>
    <t>FROM:</t>
  </si>
  <si>
    <t xml:space="preserve">PIAA CORPORATION </t>
  </si>
  <si>
    <t>PRICE TERM:</t>
  </si>
  <si>
    <t>Ex Tokyo / Yokohama Port</t>
  </si>
  <si>
    <t>CURRENCY:</t>
  </si>
  <si>
    <t>USD</t>
  </si>
  <si>
    <t>PAYMENT TERM:</t>
  </si>
  <si>
    <t>100% advance payment prior to departure of the shipment from PIAA warehouse</t>
  </si>
  <si>
    <t>WARRANTY:</t>
  </si>
  <si>
    <t xml:space="preserve">* 12 month from the date witnessed by the invoice raised to the 1st retail customer from PIAA distributors
</t>
  </si>
  <si>
    <t>*  24 month for LED lamps / 36 month for LED conversion</t>
  </si>
  <si>
    <t>Order Lead time:</t>
  </si>
  <si>
    <t>*  3 weeks~ 1 month from the date order received (depending on stock and warehouse workload situation)</t>
  </si>
  <si>
    <t>Validity</t>
  </si>
  <si>
    <t>: till next Quote</t>
  </si>
  <si>
    <t>&lt;MIN ORDER QTY/ITEM&gt;</t>
  </si>
  <si>
    <t>Full Outer Boxes</t>
  </si>
  <si>
    <t>&lt;MIN Monetary requirement/Order &gt;</t>
  </si>
  <si>
    <t>25,000 USD</t>
  </si>
  <si>
    <t>&lt;Annual MIN Purchase requirement&gt;</t>
  </si>
  <si>
    <t>250,000 USD</t>
  </si>
  <si>
    <t>QUOTE VALIDITY:</t>
  </si>
  <si>
    <t>Till Next Quote</t>
  </si>
  <si>
    <t>PIAA Retail Pricelist for for all Products</t>
  </si>
  <si>
    <t>PIAA Ref</t>
  </si>
  <si>
    <t>Product</t>
  </si>
  <si>
    <t>Items          in               Kit</t>
  </si>
  <si>
    <t>Retail Price       Ex GST</t>
  </si>
  <si>
    <t>RRP inc GST</t>
  </si>
  <si>
    <t>NOTES</t>
  </si>
  <si>
    <t>Value USD</t>
  </si>
  <si>
    <t xml:space="preserve">Total USD </t>
  </si>
  <si>
    <t xml:space="preserve">Total AUD </t>
  </si>
  <si>
    <t>Specifications</t>
  </si>
  <si>
    <t>Wattage per Lamp</t>
  </si>
  <si>
    <t>Kelvin Rating</t>
  </si>
  <si>
    <t>Lumen for each Light</t>
  </si>
  <si>
    <t>Candela</t>
  </si>
  <si>
    <t xml:space="preserve">Water and Dust Proof </t>
  </si>
  <si>
    <t>VibrationRating</t>
  </si>
  <si>
    <t>Loom Included</t>
  </si>
  <si>
    <t>Warranty</t>
  </si>
  <si>
    <t>Details</t>
  </si>
  <si>
    <t xml:space="preserve">Part Number </t>
  </si>
  <si>
    <t>Category and Product Description</t>
  </si>
  <si>
    <t xml:space="preserve">Number of Units Inc. </t>
  </si>
  <si>
    <t>Retail</t>
  </si>
  <si>
    <t>RRP         including  GST</t>
  </si>
  <si>
    <t>www.piaa.co.jp/english</t>
  </si>
  <si>
    <t>Watts</t>
  </si>
  <si>
    <t>K</t>
  </si>
  <si>
    <t>lm</t>
  </si>
  <si>
    <t>cd</t>
  </si>
  <si>
    <t>IP</t>
  </si>
  <si>
    <t>G</t>
  </si>
  <si>
    <t>Loom</t>
  </si>
  <si>
    <t>Yrs</t>
  </si>
  <si>
    <t>Beam Type</t>
  </si>
  <si>
    <t>PIAA CUBE and ROUND</t>
  </si>
  <si>
    <t>DKCL200</t>
  </si>
  <si>
    <t>2000 SERIES CUBE LP FLOOD YELLOW KIT 2500K</t>
  </si>
  <si>
    <t>3.25" x 2.3"     82.55mm x 58.42mm</t>
  </si>
  <si>
    <t>1,200 (x2)</t>
  </si>
  <si>
    <t>IP67</t>
  </si>
  <si>
    <t>LR-42</t>
  </si>
  <si>
    <t xml:space="preserve">2 Years </t>
  </si>
  <si>
    <t>Flood</t>
  </si>
  <si>
    <t>DKCL203</t>
  </si>
  <si>
    <t>2000 SERIES CUBE LP SPOT KIT 5800K</t>
  </si>
  <si>
    <t>Spot</t>
  </si>
  <si>
    <t>DKCL204</t>
  </si>
  <si>
    <t>2000 SERIES CUBE LP SPOT YELLOW KIT 2500K</t>
  </si>
  <si>
    <t>DKCL209</t>
  </si>
  <si>
    <t>2000 SERIES CUBE LP FLOOD KIT 5800K</t>
  </si>
  <si>
    <t>DKQE30</t>
  </si>
  <si>
    <t>QUAD EDGE LED CUBE LP DRV YELLOW KIT 2500K</t>
  </si>
  <si>
    <t>3.85" x 3.12"   97.79mm x 79.25mm</t>
  </si>
  <si>
    <t>3,540 (x2)</t>
  </si>
  <si>
    <t>Wide 
Driving</t>
  </si>
  <si>
    <t>DKQE39E</t>
  </si>
  <si>
    <t>QUAD EDGE LED CUBE LP DRV KIT 5600K</t>
  </si>
  <si>
    <t>Wide
 Driving</t>
  </si>
  <si>
    <t>DK220R1</t>
  </si>
  <si>
    <t xml:space="preserve">220R DUAL COLOR LAMP KIT WHITE and YELLOW HYBRID </t>
  </si>
  <si>
    <t>2.2"  55mm Round</t>
  </si>
  <si>
    <t>2500 / 5800</t>
  </si>
  <si>
    <t>2,500 (x2)</t>
  </si>
  <si>
    <t>IP68</t>
  </si>
  <si>
    <t>10G</t>
  </si>
  <si>
    <t>LR-51</t>
  </si>
  <si>
    <t xml:space="preserve">Hybrid </t>
  </si>
  <si>
    <t>DKW531</t>
  </si>
  <si>
    <t xml:space="preserve">LPW530 WIDE DRIVING WHITE and YELLOW KIT HYBRID </t>
  </si>
  <si>
    <t>3.5"  88.9mm Round</t>
  </si>
  <si>
    <t xml:space="preserve">39,400
(Mix)
</t>
  </si>
  <si>
    <t>LR-49</t>
  </si>
  <si>
    <t>DKW537E</t>
  </si>
  <si>
    <t>LPW530 FOG - WHITE KIT  5800K</t>
  </si>
  <si>
    <t>LR-50</t>
  </si>
  <si>
    <t>Fog</t>
  </si>
  <si>
    <t>DKW538E</t>
  </si>
  <si>
    <t xml:space="preserve">LPW530 FOG - YELLOW KIT  2500K </t>
  </si>
  <si>
    <t>DKW539E</t>
  </si>
  <si>
    <t>LPW530 WIDE DRIVING WHITE KIT 5800K</t>
  </si>
  <si>
    <t>PIAA LED LIGHT BAR</t>
  </si>
  <si>
    <t>DKVR73E</t>
  </si>
  <si>
    <t>V-RF7 LED LIGHT BAR SPOT KIT 5800K</t>
  </si>
  <si>
    <t xml:space="preserve">7"   178mm x 40mm </t>
  </si>
  <si>
    <t>LR-47</t>
  </si>
  <si>
    <t>DKVR105E</t>
  </si>
  <si>
    <t>V-RF10 LED LIGHT BAR DRIVING KIT 5800K</t>
  </si>
  <si>
    <t>10"  247mm x 40mm</t>
  </si>
  <si>
    <t>Driving</t>
  </si>
  <si>
    <t>DKVR205E</t>
  </si>
  <si>
    <t>V-RF20 LED LIGHT BAR DRIVING KIT 5800K</t>
  </si>
  <si>
    <t>20"  523mm x 40mm</t>
  </si>
  <si>
    <t>DKVR305E</t>
  </si>
  <si>
    <t>V-RF30 LED LIGHT BAR DRIVING KIT 5800K</t>
  </si>
  <si>
    <t>30"  799mm x 40mm</t>
  </si>
  <si>
    <t>LR-48</t>
  </si>
  <si>
    <t>DKVR405E</t>
  </si>
  <si>
    <t>V-RF40 LED LIGHT BAR DRIVING KIT 5800K</t>
  </si>
  <si>
    <t>40"  1006mm x 40mm</t>
  </si>
  <si>
    <t>DKVR509</t>
  </si>
  <si>
    <t>V-RF50 LED LIGHT BAR COMBO KIT 5800K</t>
  </si>
  <si>
    <t>50"  1282mm x 40mm</t>
  </si>
  <si>
    <t>Combo</t>
  </si>
  <si>
    <t>PIAA ROUND LED</t>
  </si>
  <si>
    <t>DKX575E</t>
  </si>
  <si>
    <t>LPX570 7inch LAMP KIT DRIVING 5800K</t>
  </si>
  <si>
    <t>7"  184mm</t>
  </si>
  <si>
    <t>6,700 (x2)</t>
  </si>
  <si>
    <t>LR-46</t>
  </si>
  <si>
    <t>2 Years</t>
  </si>
  <si>
    <t>Driving
+DRL</t>
  </si>
  <si>
    <t>DKX576</t>
  </si>
  <si>
    <t>LPX570 7inch LAMP KIT FOG 2500K</t>
  </si>
  <si>
    <t>6,700(x2)</t>
  </si>
  <si>
    <t>DKX595E</t>
  </si>
  <si>
    <t>LPX590 9inch LAMP KIT 5800K</t>
  </si>
  <si>
    <t>9"  234mm</t>
  </si>
  <si>
    <t>14,500 (x2)</t>
  </si>
  <si>
    <t>PIAA RALLY - MOTORSPORT</t>
  </si>
  <si>
    <t>PR801WE</t>
  </si>
  <si>
    <t>PIAA 80 Rally Professional DRIVE SINGLE (Halogen) 1 pcs</t>
  </si>
  <si>
    <t xml:space="preserve">Hi / Lo    Motorsport Terms </t>
  </si>
  <si>
    <t>No</t>
  </si>
  <si>
    <t>Motorsport</t>
  </si>
  <si>
    <t>Drive</t>
  </si>
  <si>
    <t>PR803WE</t>
  </si>
  <si>
    <t>PIAA 80 Rally Professional SPOT SINGLE (Halogen) 1 pcs</t>
  </si>
  <si>
    <t>LPM137</t>
  </si>
  <si>
    <t>PROFESSIONAL MOTORSPORT LAMP 130 WIDE (LED) 1pcs</t>
  </si>
  <si>
    <t>Spread 600gms Motorsport Terms</t>
  </si>
  <si>
    <t>Wide</t>
  </si>
  <si>
    <t>PROFESSIONAL MOTORSPORT LAMP 130 SPOT (LED) 1 pcs</t>
  </si>
  <si>
    <t>Jan 2026 Motorsport Terms</t>
  </si>
  <si>
    <t>PIAA LED BULBS</t>
  </si>
  <si>
    <t>LEH170E</t>
  </si>
  <si>
    <t>PIAA 6600K LED BULB H4 KIT HI3800/LO3000LM</t>
  </si>
  <si>
    <t>1 Yr Commercial Vehicle Warranty</t>
  </si>
  <si>
    <t>18/18</t>
  </si>
  <si>
    <t>3800/3000</t>
  </si>
  <si>
    <t>JIS S2</t>
  </si>
  <si>
    <t>3 Years</t>
  </si>
  <si>
    <t>LEH171E</t>
  </si>
  <si>
    <t>PIAA 6600K LED BULB HB3&amp;4 HIR1 HIR2 KIT 4000LM</t>
  </si>
  <si>
    <t>LEH172E</t>
  </si>
  <si>
    <t>PIAA 6600K LED BULB H11 H8 H9 H16 KIT 4000LM</t>
  </si>
  <si>
    <t>LEH190E</t>
  </si>
  <si>
    <t xml:space="preserve">PIAA FOG LED 2500K HI 3500 Lo 2700LM H4 x2 </t>
  </si>
  <si>
    <t>ION Yellow</t>
  </si>
  <si>
    <t>LEH191E</t>
  </si>
  <si>
    <t>PIAA FOG LED 2500K 3600LM HB HIRx2</t>
  </si>
  <si>
    <t>LEH192E</t>
  </si>
  <si>
    <t>PIAA FOG LED 2500K 3600LM H8 H11 H16x2</t>
  </si>
  <si>
    <t>LEH213E</t>
  </si>
  <si>
    <t>PIAA 6600K LED BULB H1 KIT 2000LM</t>
  </si>
  <si>
    <t>LEH214E</t>
  </si>
  <si>
    <t>PIAA 6600K LED BULB H3 KIT 2000LM</t>
  </si>
  <si>
    <t>LEH215E</t>
  </si>
  <si>
    <t>PIAA 6600K LED BULB H7 KIT 2600LM</t>
  </si>
  <si>
    <t>LEH216E</t>
  </si>
  <si>
    <t>PIAA 6600K LED BULB H13 KIT HI 3500LM LO 3500LM</t>
  </si>
  <si>
    <t>17.5 / 17.5</t>
  </si>
  <si>
    <t>3500/3500</t>
  </si>
  <si>
    <t>PIAA HORNS</t>
  </si>
  <si>
    <t>HO-9E</t>
  </si>
  <si>
    <t>PIAA Sports Horn 330/400Hz Pair     Deep Base</t>
  </si>
  <si>
    <t>HO-12E</t>
  </si>
  <si>
    <t>PIAA Slim Horn 400/500 Hz Pair   Higher Frequency</t>
  </si>
  <si>
    <t>39.8 mm Thick</t>
  </si>
  <si>
    <t xml:space="preserve">Si-Tech WIPER BLADES - Si-tech - Silicon </t>
  </si>
  <si>
    <t>97035A</t>
  </si>
  <si>
    <t>SILICONE FLAT WIPER 350MM/14</t>
  </si>
  <si>
    <t>97038A</t>
  </si>
  <si>
    <t>SILICONE FLAT WIPER 380MM/15</t>
  </si>
  <si>
    <t>97040A</t>
  </si>
  <si>
    <t>SILICONE FLAT WIPER 400MM/16</t>
  </si>
  <si>
    <t>97043A</t>
  </si>
  <si>
    <t>SILICONE FLAT WIPER 430MM/17</t>
  </si>
  <si>
    <t>97045A</t>
  </si>
  <si>
    <t>SILICONE FLAT WIPER 450MM/18</t>
  </si>
  <si>
    <t>97048A</t>
  </si>
  <si>
    <t>SILICONE FLAT WIPER 480MM/19</t>
  </si>
  <si>
    <t>97050A</t>
  </si>
  <si>
    <t>SILICONE FLAT WIPER 500MM/20</t>
  </si>
  <si>
    <t>97053A</t>
  </si>
  <si>
    <t>SILICONE FLAT WIPER 530MM/21</t>
  </si>
  <si>
    <t>97055A</t>
  </si>
  <si>
    <t>SILICONE FLAT WIPER 550MM/22</t>
  </si>
  <si>
    <t>97060A</t>
  </si>
  <si>
    <t>SILICONE FLAT WIPER 600MM/24</t>
  </si>
  <si>
    <t>97065A</t>
  </si>
  <si>
    <t>SILICONE FLAT WIPER 650MM/26</t>
  </si>
  <si>
    <t>97070A</t>
  </si>
  <si>
    <t>SILICONE FLAT WIPER 700MM/28</t>
  </si>
  <si>
    <t>SLIMVOGUE WIPER BLADES - Silicon</t>
  </si>
  <si>
    <t>WSVS30C</t>
  </si>
  <si>
    <t>SLIMVOGUE FLAT WIPER 300mm</t>
  </si>
  <si>
    <t>Not Available until January 2026</t>
  </si>
  <si>
    <t>WSVS35A</t>
  </si>
  <si>
    <t>SLIMVOGUE FLAT WIPER 350mm</t>
  </si>
  <si>
    <t>WSVS38A</t>
  </si>
  <si>
    <t>SLIMVOGUE FLAT WIPER 380mm</t>
  </si>
  <si>
    <t>WSVS40A</t>
  </si>
  <si>
    <t>SLIMVOGUE FLAT WIPER 400mm</t>
  </si>
  <si>
    <t>WSVS43C</t>
  </si>
  <si>
    <t>SLIMVOGUE FLAT WIPER 430mm</t>
  </si>
  <si>
    <t>WSVS45C</t>
  </si>
  <si>
    <t>SLIMVOGUE FLAT WIPER 450mm</t>
  </si>
  <si>
    <t>WSVS48A</t>
  </si>
  <si>
    <t>SLIMVOGUE FLAT WIPER 480mm</t>
  </si>
  <si>
    <t>WSVS50A</t>
  </si>
  <si>
    <t>SLIMVOGUE FLAT WIPER 500mm</t>
  </si>
  <si>
    <t>WSVS53A</t>
  </si>
  <si>
    <t>SLIMVOGUE FLAT WIPER 530mm</t>
  </si>
  <si>
    <t>WSVS55A</t>
  </si>
  <si>
    <t>SLIMVOGUE FLAT WIPER 550mm</t>
  </si>
  <si>
    <t>WSVS60A</t>
  </si>
  <si>
    <t>SLIMVOGUE FLAT WIPER 600mm</t>
  </si>
  <si>
    <t>WSVS65A</t>
  </si>
  <si>
    <t>SLIMVOGUE FLAT WIPER 650mm</t>
  </si>
  <si>
    <t>WSVS70A</t>
  </si>
  <si>
    <t>SLIMVOGUE FLAT WIPER 700mm</t>
  </si>
  <si>
    <t>WSVS75B</t>
  </si>
  <si>
    <t>SLIMVOGUE FLAT WIPER 750mm</t>
  </si>
  <si>
    <t>PIAA MAGNETIC OIL FILTER</t>
  </si>
  <si>
    <t>Z1-M</t>
  </si>
  <si>
    <t>Twin Magnet Oil Filter</t>
  </si>
  <si>
    <t>100 millitesla (1000 gauss)</t>
  </si>
  <si>
    <t>Z2-M</t>
  </si>
  <si>
    <t>Z5-M</t>
  </si>
  <si>
    <t>Z6-M</t>
  </si>
  <si>
    <t>Z8-M</t>
  </si>
  <si>
    <t>Z11-M</t>
  </si>
  <si>
    <t>Z12-M</t>
  </si>
  <si>
    <t>Z13-M</t>
  </si>
  <si>
    <t>Z14-M</t>
  </si>
  <si>
    <t>Z15-M</t>
  </si>
  <si>
    <t>PIAA RADIATOR CAP (MOTORSPORT)</t>
  </si>
  <si>
    <t>SSR53</t>
  </si>
  <si>
    <t>Radiator Cap   88kPa    .9kg/cm2</t>
  </si>
  <si>
    <t>88 kPa    .9kg/cm2</t>
  </si>
  <si>
    <t>SSR54</t>
  </si>
  <si>
    <t>Radiator Cap   108kPa    1.1kg/cm2</t>
  </si>
  <si>
    <t>108 kPa    1.1kg/cm2</t>
  </si>
  <si>
    <t>SSR55</t>
  </si>
  <si>
    <t>Radiator Cap    88kPa    .9kg/cm2</t>
  </si>
  <si>
    <t>SSR56</t>
  </si>
  <si>
    <t>SSR60</t>
  </si>
  <si>
    <t>Radiator Cap</t>
  </si>
  <si>
    <t>AUD</t>
  </si>
  <si>
    <t>PIAA LED LAMP Spec Chart</t>
  </si>
  <si>
    <t>CONFIDENTAIL</t>
  </si>
  <si>
    <t>Lamp Spec.</t>
  </si>
  <si>
    <t>Style</t>
  </si>
  <si>
    <t>Series</t>
  </si>
  <si>
    <t>PIAA</t>
  </si>
  <si>
    <t>Length</t>
  </si>
  <si>
    <t>Beam</t>
  </si>
  <si>
    <t>Width</t>
  </si>
  <si>
    <t>Height</t>
  </si>
  <si>
    <t>Depth</t>
  </si>
  <si>
    <t>Weight</t>
  </si>
  <si>
    <t>Mounting Bracket in Kit</t>
  </si>
  <si>
    <t>Wire set</t>
  </si>
  <si>
    <t># of Lamp</t>
  </si>
  <si>
    <t>Size</t>
  </si>
  <si>
    <t># of LED</t>
  </si>
  <si>
    <t>Wattage</t>
  </si>
  <si>
    <t>Color</t>
  </si>
  <si>
    <t>Voltage</t>
  </si>
  <si>
    <t>Lumen</t>
  </si>
  <si>
    <t>Certification</t>
  </si>
  <si>
    <t>Wire Kit</t>
  </si>
  <si>
    <t>Material</t>
  </si>
  <si>
    <t>NOTE</t>
  </si>
  <si>
    <t>Part No.</t>
  </si>
  <si>
    <t>(inch)</t>
  </si>
  <si>
    <t>Pattern</t>
  </si>
  <si>
    <t>mm</t>
  </si>
  <si>
    <t>gram</t>
  </si>
  <si>
    <t>Bottom</t>
  </si>
  <si>
    <t>Hanging</t>
  </si>
  <si>
    <t>Side</t>
  </si>
  <si>
    <t>Included</t>
  </si>
  <si>
    <t>in Kit</t>
  </si>
  <si>
    <t>per lamp</t>
  </si>
  <si>
    <t>W</t>
  </si>
  <si>
    <t>V</t>
  </si>
  <si>
    <t>ECE</t>
  </si>
  <si>
    <t>SAE</t>
  </si>
  <si>
    <t>EMC</t>
  </si>
  <si>
    <t>IP Rating</t>
  </si>
  <si>
    <t>RoHS</t>
  </si>
  <si>
    <t>(included)</t>
  </si>
  <si>
    <t>HOUSING</t>
  </si>
  <si>
    <t>LENS</t>
  </si>
  <si>
    <t>V-RF</t>
  </si>
  <si>
    <t>7"</t>
  </si>
  <si>
    <t>O</t>
  </si>
  <si>
    <t>R10</t>
  </si>
  <si>
    <t>Cast Alumiunum</t>
  </si>
  <si>
    <t>Polycarbonate</t>
  </si>
  <si>
    <t>Bar Type</t>
  </si>
  <si>
    <t>10"</t>
  </si>
  <si>
    <t>20"</t>
  </si>
  <si>
    <t>30"</t>
  </si>
  <si>
    <t>40"</t>
  </si>
  <si>
    <t>50"</t>
  </si>
  <si>
    <t>Cube</t>
  </si>
  <si>
    <t>QUAD
EDGE</t>
  </si>
  <si>
    <t>4"</t>
  </si>
  <si>
    <t>Wide
Driving</t>
  </si>
  <si>
    <t>580 (x2)</t>
  </si>
  <si>
    <t>3,540 
(x2)</t>
  </si>
  <si>
    <t>Alumiunum alloy</t>
  </si>
  <si>
    <t>2500K</t>
  </si>
  <si>
    <t>3"</t>
  </si>
  <si>
    <t>320 (x2)</t>
  </si>
  <si>
    <t>1,200 
(x2)</t>
  </si>
  <si>
    <t>7" (184mm)</t>
  </si>
  <si>
    <t>Driving
&amp;DRL</t>
  </si>
  <si>
    <t>5500
(x2)</t>
  </si>
  <si>
    <t>5500K</t>
  </si>
  <si>
    <t>6700
(x2)</t>
  </si>
  <si>
    <t>Aluminum die cast</t>
  </si>
  <si>
    <t>ROUND</t>
  </si>
  <si>
    <t>LPX</t>
  </si>
  <si>
    <t>9" (234mm)</t>
  </si>
  <si>
    <t>10500
(x2)</t>
  </si>
  <si>
    <t>9"</t>
  </si>
  <si>
    <t>14500
(x2)</t>
  </si>
  <si>
    <t>LPW</t>
  </si>
  <si>
    <t xml:space="preserve">3.5" (89mm)
</t>
  </si>
  <si>
    <t>Wide Driving</t>
  </si>
  <si>
    <t>2280
(x2)</t>
  </si>
  <si>
    <t>3.5"</t>
  </si>
  <si>
    <t>20W</t>
  </si>
  <si>
    <r>
      <rPr>
        <rFont val="Arial"/>
        <color rgb="FF000000"/>
        <sz val="12.0"/>
      </rPr>
      <t>5800K</t>
    </r>
    <r>
      <rPr>
        <rFont val="Arial"/>
        <color rgb="FF000000"/>
        <sz val="11.0"/>
      </rPr>
      <t xml:space="preserve">
</t>
    </r>
    <r>
      <rPr>
        <rFont val="Arial"/>
        <color rgb="FF000000"/>
        <sz val="12.0"/>
      </rPr>
      <t>4000K
2500K</t>
    </r>
  </si>
  <si>
    <t>2000
(x2)</t>
  </si>
  <si>
    <t xml:space="preserve">3.5" (89mm) 
</t>
  </si>
  <si>
    <t xml:space="preserve">Wide Driving 
</t>
  </si>
  <si>
    <t>6000K</t>
  </si>
  <si>
    <t>2500
(x2)</t>
  </si>
  <si>
    <t>FOG</t>
  </si>
  <si>
    <t>220R</t>
  </si>
  <si>
    <t>2.2" (55.8mm)</t>
  </si>
  <si>
    <t>2.2"</t>
  </si>
  <si>
    <t>25W</t>
  </si>
  <si>
    <t>6000K
2500K</t>
  </si>
  <si>
    <t xml:space="preserve">LR-51
</t>
  </si>
  <si>
    <t>DIMS</t>
  </si>
  <si>
    <t>AUST</t>
  </si>
  <si>
    <t>Code</t>
  </si>
  <si>
    <t>Product Width</t>
  </si>
  <si>
    <t>ProductHeight</t>
  </si>
  <si>
    <t>Product Depth</t>
  </si>
  <si>
    <t>Product Weight (Each)</t>
  </si>
  <si>
    <t>Product Outer Box - DIMS</t>
  </si>
  <si>
    <t xml:space="preserve">Weight of Box </t>
  </si>
  <si>
    <t>Wiring Relay and Switch</t>
  </si>
  <si>
    <t># of Lamps in  Kit</t>
  </si>
  <si>
    <t>Lamp Size</t>
  </si>
  <si>
    <t>IncludedWire Kit</t>
  </si>
  <si>
    <t>Origin</t>
  </si>
  <si>
    <t xml:space="preserve">Length </t>
  </si>
  <si>
    <t xml:space="preserve">Width </t>
  </si>
  <si>
    <t>kg</t>
  </si>
  <si>
    <t>BAR</t>
  </si>
  <si>
    <t>YE65</t>
  </si>
  <si>
    <t>5800K</t>
  </si>
  <si>
    <t>CN</t>
  </si>
  <si>
    <t xml:space="preserve">DIMS </t>
  </si>
  <si>
    <t>ZC04</t>
  </si>
  <si>
    <t>?</t>
  </si>
  <si>
    <t>CUBE</t>
  </si>
  <si>
    <t>5600K</t>
  </si>
  <si>
    <t>ZF24</t>
  </si>
  <si>
    <t>XJ03</t>
  </si>
  <si>
    <t>Driving
with DRL</t>
  </si>
  <si>
    <t>135000 (x2)</t>
  </si>
  <si>
    <t>215000 (x2)</t>
  </si>
  <si>
    <t>ZC16</t>
  </si>
  <si>
    <t>3.5"     (89 mm)</t>
  </si>
  <si>
    <t>6000K
4000K
2500K</t>
  </si>
  <si>
    <t>YJ04</t>
  </si>
  <si>
    <t>53100 (x2)</t>
  </si>
  <si>
    <t>RALLY</t>
  </si>
  <si>
    <t>Hi - Lo</t>
  </si>
  <si>
    <t>LMP137</t>
  </si>
  <si>
    <t>Wide     LED</t>
  </si>
  <si>
    <t>ZH10</t>
  </si>
  <si>
    <t>x2</t>
  </si>
  <si>
    <t>6000K 4000K
2500K</t>
  </si>
  <si>
    <t>HORN</t>
  </si>
  <si>
    <t>HO12E</t>
  </si>
  <si>
    <t>SLIM HORN</t>
  </si>
  <si>
    <t>SLIM HORN 39.8mm</t>
  </si>
  <si>
    <t>x 2</t>
  </si>
  <si>
    <t>400Hz (Lo)</t>
  </si>
  <si>
    <t>2.7A + 2.7A</t>
  </si>
  <si>
    <t>500Hz (Hi)</t>
  </si>
  <si>
    <t>112 DB</t>
  </si>
  <si>
    <t>JP</t>
  </si>
  <si>
    <t>HO9E</t>
  </si>
  <si>
    <t>SPORTS HORN</t>
  </si>
  <si>
    <t xml:space="preserve">Dual FREQ HORN </t>
  </si>
  <si>
    <t>400Hz (Hi)</t>
  </si>
  <si>
    <t>2.7A + 4.0A</t>
  </si>
  <si>
    <t>330Hz (Lo)</t>
  </si>
  <si>
    <t>Type</t>
  </si>
  <si>
    <t>Hi 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</si>
</sst>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.00;\-\$#,##0.00"/>
    <numFmt numFmtId="165" formatCode="&quot;$&quot;#,##0.00"/>
    <numFmt numFmtId="166" formatCode="0.0"/>
    <numFmt numFmtId="167" formatCode="&quot;$&quot;#,##0.00_);[Red]\(&quot;$&quot;#,##0.00\)"/>
    <numFmt numFmtId="168" formatCode="0.00_ "/>
  </numFmts>
  <fonts count="28">
    <font>
      <sz val="11.0"/>
      <color theme="1"/>
      <name val="Calibri"/>
      <scheme val="minor"/>
    </font>
    <font>
      <sz val="11.0"/>
      <color theme="1"/>
      <name val="Arial"/>
    </font>
    <font>
      <b/>
      <sz val="14.0"/>
      <color theme="0"/>
      <name val="Arial"/>
    </font>
    <font>
      <b/>
      <sz val="18.0"/>
      <color theme="0"/>
      <name val="Arial"/>
    </font>
    <font>
      <b/>
      <sz val="18.0"/>
      <color theme="1"/>
      <name val="Arial"/>
    </font>
    <font>
      <sz val="22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/>
    <font>
      <u/>
      <sz val="11.0"/>
      <color theme="10"/>
      <name val="Calibri"/>
    </font>
    <font>
      <sz val="9.0"/>
      <color theme="1"/>
      <name val="Arial"/>
    </font>
    <font>
      <sz val="10.0"/>
      <color theme="1"/>
      <name val="Calibri"/>
    </font>
    <font>
      <sz val="11.0"/>
      <color rgb="FF000000"/>
      <name val="Arial"/>
    </font>
    <font>
      <sz val="11.0"/>
      <color theme="1"/>
      <name val="Calibri"/>
    </font>
    <font>
      <b/>
      <sz val="9.0"/>
      <color theme="1"/>
      <name val="Arial"/>
    </font>
    <font>
      <sz val="10.0"/>
      <color rgb="FF000000"/>
      <name val="Arial"/>
    </font>
    <font>
      <sz val="9.0"/>
      <color rgb="FF000000"/>
      <name val="Arial"/>
    </font>
    <font>
      <sz val="6.0"/>
      <color theme="1"/>
      <name val="Arial"/>
    </font>
    <font>
      <sz val="7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sz val="18.0"/>
      <color theme="1"/>
      <name val="Arial"/>
    </font>
    <font>
      <sz val="12.0"/>
      <color rgb="FF000000"/>
      <name val="Arial"/>
    </font>
    <font>
      <b/>
      <sz val="12.0"/>
      <color rgb="FF222222"/>
      <name val="Arial"/>
    </font>
  </fonts>
  <fills count="2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FBE4D5"/>
        <bgColor rgb="FFFBE4D5"/>
      </patternFill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ADADA"/>
        <bgColor rgb="FFDADADA"/>
      </patternFill>
    </fill>
    <fill>
      <patternFill patternType="solid">
        <fgColor rgb="FFBDD6EE"/>
        <bgColor rgb="FFBDD6EE"/>
      </patternFill>
    </fill>
  </fills>
  <borders count="71">
    <border/>
    <border>
      <left/>
      <right/>
      <top/>
      <bottom style="double">
        <color rgb="FF000000"/>
      </bottom>
    </border>
    <border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33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2" fontId="5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2" fontId="1" numFmtId="14" xfId="0" applyAlignment="1" applyBorder="1" applyFont="1" applyNumberFormat="1">
      <alignment vertical="bottom"/>
    </xf>
    <xf borderId="0" fillId="0" fontId="1" numFmtId="0" xfId="0" applyAlignment="1" applyFont="1">
      <alignment vertical="center"/>
    </xf>
    <xf borderId="0" fillId="0" fontId="6" numFmtId="15" xfId="0" applyAlignment="1" applyFont="1" applyNumberFormat="1">
      <alignment horizontal="left" vertical="center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6" numFmtId="0" xfId="0" applyAlignment="1" applyFont="1">
      <alignment horizontal="left" vertical="bottom"/>
    </xf>
    <xf borderId="0" fillId="0" fontId="8" numFmtId="3" xfId="0" applyAlignment="1" applyFont="1" applyNumberFormat="1">
      <alignment vertical="bottom"/>
    </xf>
    <xf borderId="0" fillId="0" fontId="8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2" fillId="0" fontId="6" numFmtId="15" xfId="0" applyAlignment="1" applyBorder="1" applyFont="1" applyNumberFormat="1">
      <alignment horizontal="left" vertical="bottom"/>
    </xf>
    <xf borderId="0" fillId="0" fontId="6" numFmtId="0" xfId="0" applyAlignment="1" applyFont="1">
      <alignment vertical="center"/>
    </xf>
    <xf borderId="0" fillId="0" fontId="9" numFmtId="0" xfId="0" applyAlignment="1" applyFont="1">
      <alignment horizontal="left" vertical="center"/>
    </xf>
    <xf borderId="0" fillId="0" fontId="6" numFmtId="164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3" fillId="3" fontId="10" numFmtId="0" xfId="0" applyAlignment="1" applyBorder="1" applyFill="1" applyFont="1">
      <alignment horizontal="center" vertical="center"/>
    </xf>
    <xf borderId="4" fillId="3" fontId="10" numFmtId="0" xfId="0" applyAlignment="1" applyBorder="1" applyFont="1">
      <alignment horizontal="center" shrinkToFit="0" vertical="center" wrapText="1"/>
    </xf>
    <xf borderId="5" fillId="3" fontId="10" numFmtId="164" xfId="0" applyAlignment="1" applyBorder="1" applyFont="1" applyNumberFormat="1">
      <alignment horizontal="center" shrinkToFit="0" vertical="center" wrapText="1"/>
    </xf>
    <xf borderId="6" fillId="3" fontId="10" numFmtId="0" xfId="0" applyAlignment="1" applyBorder="1" applyFont="1">
      <alignment horizontal="center" vertical="center"/>
    </xf>
    <xf borderId="7" fillId="3" fontId="11" numFmtId="0" xfId="0" applyAlignment="1" applyBorder="1" applyFont="1">
      <alignment horizontal="center" vertical="center"/>
    </xf>
    <xf borderId="8" fillId="3" fontId="11" numFmtId="0" xfId="0" applyAlignment="1" applyBorder="1" applyFont="1">
      <alignment horizontal="center" vertical="center"/>
    </xf>
    <xf borderId="9" fillId="3" fontId="11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12" numFmtId="0" xfId="0" applyAlignment="1" applyBorder="1" applyFont="1">
      <alignment vertical="center"/>
    </xf>
    <xf borderId="12" fillId="0" fontId="12" numFmtId="0" xfId="0" applyAlignment="1" applyBorder="1" applyFont="1">
      <alignment vertical="center"/>
    </xf>
    <xf borderId="13" fillId="3" fontId="11" numFmtId="0" xfId="0" applyAlignment="1" applyBorder="1" applyFont="1">
      <alignment vertical="center"/>
    </xf>
    <xf borderId="14" fillId="3" fontId="11" numFmtId="0" xfId="0" applyAlignment="1" applyBorder="1" applyFont="1">
      <alignment horizontal="center" vertical="center"/>
    </xf>
    <xf borderId="15" fillId="3" fontId="10" numFmtId="0" xfId="0" applyAlignment="1" applyBorder="1" applyFont="1">
      <alignment horizontal="center" shrinkToFit="0" vertical="center" wrapText="1"/>
    </xf>
    <xf borderId="16" fillId="3" fontId="10" numFmtId="39" xfId="0" applyAlignment="1" applyBorder="1" applyFont="1" applyNumberFormat="1">
      <alignment horizontal="center" vertical="center"/>
    </xf>
    <xf borderId="17" fillId="3" fontId="11" numFmtId="0" xfId="0" applyAlignment="1" applyBorder="1" applyFont="1">
      <alignment horizontal="center" vertical="center"/>
    </xf>
    <xf borderId="18" fillId="3" fontId="11" numFmtId="0" xfId="0" applyAlignment="1" applyBorder="1" applyFont="1">
      <alignment horizontal="center" vertical="center"/>
    </xf>
    <xf borderId="3" fillId="4" fontId="10" numFmtId="9" xfId="0" applyAlignment="1" applyBorder="1" applyFill="1" applyFont="1" applyNumberFormat="1">
      <alignment horizontal="center" shrinkToFit="0" vertical="center" wrapText="1"/>
    </xf>
    <xf borderId="3" fillId="5" fontId="7" numFmtId="0" xfId="0" applyAlignment="1" applyBorder="1" applyFill="1" applyFont="1">
      <alignment horizontal="center" shrinkToFit="0" vertical="center" wrapText="1"/>
    </xf>
    <xf borderId="19" fillId="5" fontId="7" numFmtId="0" xfId="0" applyAlignment="1" applyBorder="1" applyFont="1">
      <alignment horizontal="center" vertical="center"/>
    </xf>
    <xf borderId="19" fillId="5" fontId="7" numFmtId="0" xfId="0" applyAlignment="1" applyBorder="1" applyFont="1">
      <alignment horizontal="center" shrinkToFit="0" vertical="center" wrapText="1"/>
    </xf>
    <xf borderId="3" fillId="5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vertical="center"/>
    </xf>
    <xf borderId="20" fillId="0" fontId="8" numFmtId="0" xfId="0" applyAlignment="1" applyBorder="1" applyFont="1">
      <alignment vertical="center"/>
    </xf>
    <xf borderId="21" fillId="0" fontId="8" numFmtId="0" xfId="0" applyAlignment="1" applyBorder="1" applyFont="1">
      <alignment horizontal="center" shrinkToFit="0" vertical="center" wrapText="1"/>
    </xf>
    <xf borderId="15" fillId="6" fontId="8" numFmtId="0" xfId="0" applyAlignment="1" applyBorder="1" applyFill="1" applyFont="1">
      <alignment horizontal="center" vertical="center"/>
    </xf>
    <xf borderId="22" fillId="6" fontId="8" numFmtId="0" xfId="0" applyAlignment="1" applyBorder="1" applyFont="1">
      <alignment horizontal="center" shrinkToFit="0" vertical="center" wrapText="1"/>
    </xf>
    <xf borderId="3" fillId="0" fontId="13" numFmtId="10" xfId="0" applyAlignment="1" applyBorder="1" applyFont="1" applyNumberFormat="1">
      <alignment horizontal="center" vertical="center"/>
    </xf>
    <xf borderId="23" fillId="0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vertical="center"/>
    </xf>
    <xf borderId="25" fillId="0" fontId="6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27" fillId="0" fontId="7" numFmtId="0" xfId="0" applyAlignment="1" applyBorder="1" applyFont="1">
      <alignment horizontal="center" vertical="center"/>
    </xf>
    <xf borderId="26" fillId="0" fontId="7" numFmtId="0" xfId="0" applyAlignment="1" applyBorder="1" applyFont="1">
      <alignment horizontal="center" vertical="center"/>
    </xf>
    <xf borderId="28" fillId="0" fontId="7" numFmtId="0" xfId="0" applyAlignment="1" applyBorder="1" applyFont="1">
      <alignment horizontal="center" vertical="center"/>
    </xf>
    <xf borderId="28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29" fillId="3" fontId="6" numFmtId="0" xfId="0" applyAlignment="1" applyBorder="1" applyFont="1">
      <alignment horizontal="left" vertical="center"/>
    </xf>
    <xf borderId="29" fillId="3" fontId="10" numFmtId="0" xfId="0" applyAlignment="1" applyBorder="1" applyFont="1">
      <alignment vertical="center"/>
    </xf>
    <xf borderId="30" fillId="3" fontId="8" numFmtId="0" xfId="0" applyAlignment="1" applyBorder="1" applyFont="1">
      <alignment horizontal="center" vertical="center"/>
    </xf>
    <xf borderId="31" fillId="7" fontId="6" numFmtId="164" xfId="0" applyAlignment="1" applyBorder="1" applyFill="1" applyFont="1" applyNumberFormat="1">
      <alignment horizontal="center" vertical="center"/>
    </xf>
    <xf borderId="32" fillId="3" fontId="14" numFmtId="0" xfId="0" applyAlignment="1" applyBorder="1" applyFont="1">
      <alignment vertical="center"/>
    </xf>
    <xf borderId="33" fillId="3" fontId="6" numFmtId="164" xfId="0" applyAlignment="1" applyBorder="1" applyFont="1" applyNumberFormat="1">
      <alignment horizontal="center" vertical="center"/>
    </xf>
    <xf borderId="34" fillId="3" fontId="6" numFmtId="164" xfId="0" applyAlignment="1" applyBorder="1" applyFont="1" applyNumberFormat="1">
      <alignment horizontal="center" vertical="center"/>
    </xf>
    <xf borderId="35" fillId="3" fontId="6" numFmtId="164" xfId="0" applyAlignment="1" applyBorder="1" applyFont="1" applyNumberFormat="1">
      <alignment horizontal="center" vertical="center"/>
    </xf>
    <xf borderId="36" fillId="3" fontId="6" numFmtId="165" xfId="0" applyAlignment="1" applyBorder="1" applyFont="1" applyNumberFormat="1">
      <alignment horizontal="center" vertical="center"/>
    </xf>
    <xf borderId="8" fillId="3" fontId="6" numFmtId="165" xfId="0" applyAlignment="1" applyBorder="1" applyFont="1" applyNumberFormat="1">
      <alignment horizontal="center" vertical="center"/>
    </xf>
    <xf borderId="8" fillId="7" fontId="6" numFmtId="0" xfId="0" applyAlignment="1" applyBorder="1" applyFont="1">
      <alignment horizontal="center" vertical="center"/>
    </xf>
    <xf borderId="9" fillId="7" fontId="6" numFmtId="0" xfId="0" applyAlignment="1" applyBorder="1" applyFont="1">
      <alignment horizontal="center" vertical="center"/>
    </xf>
    <xf borderId="37" fillId="7" fontId="6" numFmtId="0" xfId="0" applyAlignment="1" applyBorder="1" applyFont="1">
      <alignment horizontal="center" vertical="center"/>
    </xf>
    <xf borderId="38" fillId="8" fontId="6" numFmtId="0" xfId="0" applyAlignment="1" applyBorder="1" applyFill="1" applyFont="1">
      <alignment horizontal="left" vertical="center"/>
    </xf>
    <xf borderId="38" fillId="8" fontId="6" numFmtId="0" xfId="0" applyAlignment="1" applyBorder="1" applyFont="1">
      <alignment vertical="center"/>
    </xf>
    <xf borderId="38" fillId="8" fontId="6" numFmtId="0" xfId="0" applyAlignment="1" applyBorder="1" applyFont="1">
      <alignment horizontal="center" vertical="center"/>
    </xf>
    <xf borderId="31" fillId="6" fontId="6" numFmtId="164" xfId="0" applyAlignment="1" applyBorder="1" applyFont="1" applyNumberFormat="1">
      <alignment horizontal="center" vertical="center"/>
    </xf>
    <xf borderId="39" fillId="0" fontId="15" numFmtId="0" xfId="0" applyAlignment="1" applyBorder="1" applyFont="1">
      <alignment horizontal="left" vertical="top"/>
    </xf>
    <xf borderId="40" fillId="0" fontId="6" numFmtId="164" xfId="0" applyAlignment="1" applyBorder="1" applyFont="1" applyNumberFormat="1">
      <alignment horizontal="center" vertical="center"/>
    </xf>
    <xf borderId="41" fillId="0" fontId="6" numFmtId="164" xfId="0" applyAlignment="1" applyBorder="1" applyFont="1" applyNumberFormat="1">
      <alignment horizontal="center" vertical="center"/>
    </xf>
    <xf borderId="31" fillId="0" fontId="6" numFmtId="164" xfId="0" applyAlignment="1" applyBorder="1" applyFont="1" applyNumberFormat="1">
      <alignment horizontal="center" vertical="center"/>
    </xf>
    <xf borderId="42" fillId="0" fontId="6" numFmtId="166" xfId="0" applyAlignment="1" applyBorder="1" applyFont="1" applyNumberFormat="1">
      <alignment horizontal="center" vertical="center"/>
    </xf>
    <xf borderId="31" fillId="0" fontId="6" numFmtId="1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shrinkToFit="0" vertical="center" wrapText="1"/>
    </xf>
    <xf borderId="31" fillId="0" fontId="1" numFmtId="3" xfId="0" applyAlignment="1" applyBorder="1" applyFont="1" applyNumberFormat="1">
      <alignment horizontal="center" shrinkToFit="0" vertical="center" wrapText="1"/>
    </xf>
    <xf borderId="41" fillId="0" fontId="1" numFmtId="0" xfId="0" applyAlignment="1" applyBorder="1" applyFont="1">
      <alignment horizontal="center" shrinkToFit="0" vertical="center" wrapText="1"/>
    </xf>
    <xf borderId="39" fillId="0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shrinkToFit="0" vertical="center" wrapText="1"/>
    </xf>
    <xf borderId="39" fillId="0" fontId="14" numFmtId="0" xfId="0" applyAlignment="1" applyBorder="1" applyFont="1">
      <alignment vertical="center"/>
    </xf>
    <xf borderId="31" fillId="0" fontId="16" numFmtId="0" xfId="0" applyAlignment="1" applyBorder="1" applyFont="1">
      <alignment horizontal="center" shrinkToFit="0" vertical="center" wrapText="1"/>
    </xf>
    <xf borderId="31" fillId="0" fontId="16" numFmtId="3" xfId="0" applyAlignment="1" applyBorder="1" applyFont="1" applyNumberFormat="1">
      <alignment horizontal="center" shrinkToFit="0" vertical="center" wrapText="1"/>
    </xf>
    <xf borderId="39" fillId="0" fontId="14" numFmtId="10" xfId="0" applyAlignment="1" applyBorder="1" applyFont="1" applyNumberFormat="1">
      <alignment vertical="center"/>
    </xf>
    <xf borderId="38" fillId="9" fontId="6" numFmtId="0" xfId="0" applyAlignment="1" applyBorder="1" applyFill="1" applyFont="1">
      <alignment horizontal="left" vertical="center"/>
    </xf>
    <xf borderId="31" fillId="0" fontId="17" numFmtId="0" xfId="0" applyAlignment="1" applyBorder="1" applyFont="1">
      <alignment vertical="center"/>
    </xf>
    <xf borderId="43" fillId="0" fontId="6" numFmtId="166" xfId="0" applyAlignment="1" applyBorder="1" applyFont="1" applyNumberFormat="1">
      <alignment horizontal="center" vertical="center"/>
    </xf>
    <xf borderId="44" fillId="0" fontId="6" numFmtId="1" xfId="0" applyAlignment="1" applyBorder="1" applyFont="1" applyNumberFormat="1">
      <alignment horizontal="center" vertical="center"/>
    </xf>
    <xf borderId="44" fillId="0" fontId="1" numFmtId="0" xfId="0" applyAlignment="1" applyBorder="1" applyFont="1">
      <alignment horizontal="center" shrinkToFit="0" vertical="center" wrapText="1"/>
    </xf>
    <xf borderId="44" fillId="0" fontId="17" numFmtId="0" xfId="0" applyAlignment="1" applyBorder="1" applyFont="1">
      <alignment vertical="center"/>
    </xf>
    <xf borderId="44" fillId="0" fontId="1" numFmtId="3" xfId="0" applyAlignment="1" applyBorder="1" applyFont="1" applyNumberFormat="1">
      <alignment horizontal="center" shrinkToFit="0" vertical="center" wrapText="1"/>
    </xf>
    <xf borderId="45" fillId="0" fontId="1" numFmtId="0" xfId="0" applyAlignment="1" applyBorder="1" applyFont="1">
      <alignment horizontal="center" shrinkToFit="0" vertical="center" wrapText="1"/>
    </xf>
    <xf borderId="46" fillId="0" fontId="1" numFmtId="0" xfId="0" applyAlignment="1" applyBorder="1" applyFont="1">
      <alignment horizontal="center" vertical="center"/>
    </xf>
    <xf borderId="47" fillId="3" fontId="6" numFmtId="0" xfId="0" applyAlignment="1" applyBorder="1" applyFont="1">
      <alignment horizontal="center" vertical="center"/>
    </xf>
    <xf borderId="38" fillId="7" fontId="6" numFmtId="0" xfId="0" applyAlignment="1" applyBorder="1" applyFont="1">
      <alignment horizontal="left" vertical="center"/>
    </xf>
    <xf borderId="38" fillId="7" fontId="10" numFmtId="0" xfId="0" applyAlignment="1" applyBorder="1" applyFont="1">
      <alignment vertical="center"/>
    </xf>
    <xf borderId="38" fillId="7" fontId="8" numFmtId="0" xfId="0" applyAlignment="1" applyBorder="1" applyFont="1">
      <alignment horizontal="center" vertical="center"/>
    </xf>
    <xf borderId="39" fillId="3" fontId="14" numFmtId="0" xfId="0" applyAlignment="1" applyBorder="1" applyFont="1">
      <alignment vertical="center"/>
    </xf>
    <xf borderId="48" fillId="3" fontId="6" numFmtId="164" xfId="0" applyAlignment="1" applyBorder="1" applyFont="1" applyNumberFormat="1">
      <alignment horizontal="center" vertical="center"/>
    </xf>
    <xf borderId="49" fillId="3" fontId="6" numFmtId="164" xfId="0" applyAlignment="1" applyBorder="1" applyFont="1" applyNumberFormat="1">
      <alignment horizontal="center" vertical="center"/>
    </xf>
    <xf borderId="31" fillId="7" fontId="6" numFmtId="0" xfId="0" applyAlignment="1" applyBorder="1" applyFont="1">
      <alignment horizontal="center" vertical="center"/>
    </xf>
    <xf borderId="31" fillId="7" fontId="1" numFmtId="0" xfId="0" applyAlignment="1" applyBorder="1" applyFont="1">
      <alignment horizontal="center" vertical="center"/>
    </xf>
    <xf borderId="39" fillId="7" fontId="6" numFmtId="0" xfId="0" applyAlignment="1" applyBorder="1" applyFont="1">
      <alignment horizontal="center" vertical="center"/>
    </xf>
    <xf borderId="50" fillId="0" fontId="6" numFmtId="166" xfId="0" applyAlignment="1" applyBorder="1" applyFont="1" applyNumberFormat="1">
      <alignment horizontal="center" vertical="center"/>
    </xf>
    <xf borderId="51" fillId="0" fontId="6" numFmtId="1" xfId="0" applyAlignment="1" applyBorder="1" applyFont="1" applyNumberFormat="1">
      <alignment horizontal="center" vertical="center"/>
    </xf>
    <xf borderId="51" fillId="0" fontId="1" numFmtId="3" xfId="0" applyAlignment="1" applyBorder="1" applyFont="1" applyNumberFormat="1">
      <alignment horizontal="center" shrinkToFit="0" vertical="center" wrapText="1"/>
    </xf>
    <xf borderId="51" fillId="0" fontId="16" numFmtId="0" xfId="0" applyAlignment="1" applyBorder="1" applyFont="1">
      <alignment horizontal="center" shrinkToFit="0" vertical="center" wrapText="1"/>
    </xf>
    <xf borderId="52" fillId="0" fontId="1" numFmtId="0" xfId="0" applyAlignment="1" applyBorder="1" applyFont="1">
      <alignment horizontal="center" shrinkToFit="0" vertical="center" wrapText="1"/>
    </xf>
    <xf borderId="53" fillId="0" fontId="1" numFmtId="0" xfId="0" applyAlignment="1" applyBorder="1" applyFont="1">
      <alignment horizontal="center" shrinkToFit="0" vertical="center" wrapText="1"/>
    </xf>
    <xf borderId="39" fillId="7" fontId="14" numFmtId="0" xfId="0" applyAlignment="1" applyBorder="1" applyFont="1">
      <alignment vertical="center"/>
    </xf>
    <xf borderId="31" fillId="3" fontId="6" numFmtId="164" xfId="0" applyAlignment="1" applyBorder="1" applyFont="1" applyNumberFormat="1">
      <alignment horizontal="center" vertical="center"/>
    </xf>
    <xf borderId="31" fillId="10" fontId="1" numFmtId="3" xfId="0" applyAlignment="1" applyBorder="1" applyFill="1" applyFont="1" applyNumberFormat="1">
      <alignment horizontal="center" shrinkToFit="0" vertical="center" wrapText="1"/>
    </xf>
    <xf borderId="31" fillId="10" fontId="1" numFmtId="0" xfId="0" applyAlignment="1" applyBorder="1" applyFont="1">
      <alignment horizontal="center" shrinkToFit="0" vertical="center" wrapText="1"/>
    </xf>
    <xf borderId="38" fillId="7" fontId="6" numFmtId="0" xfId="0" applyAlignment="1" applyBorder="1" applyFont="1">
      <alignment vertical="center"/>
    </xf>
    <xf borderId="48" fillId="7" fontId="6" numFmtId="164" xfId="0" applyAlignment="1" applyBorder="1" applyFont="1" applyNumberFormat="1">
      <alignment horizontal="center" vertical="center"/>
    </xf>
    <xf borderId="49" fillId="7" fontId="6" numFmtId="164" xfId="0" applyAlignment="1" applyBorder="1" applyFont="1" applyNumberFormat="1">
      <alignment horizontal="center" vertical="center"/>
    </xf>
    <xf borderId="38" fillId="11" fontId="6" numFmtId="0" xfId="0" applyAlignment="1" applyBorder="1" applyFill="1" applyFont="1">
      <alignment vertical="center"/>
    </xf>
    <xf borderId="38" fillId="11" fontId="6" numFmtId="0" xfId="0" applyAlignment="1" applyBorder="1" applyFont="1">
      <alignment horizontal="center" vertical="center"/>
    </xf>
    <xf borderId="31" fillId="12" fontId="6" numFmtId="164" xfId="0" applyAlignment="1" applyBorder="1" applyFill="1" applyFont="1" applyNumberFormat="1">
      <alignment horizontal="center" vertical="center"/>
    </xf>
    <xf borderId="39" fillId="11" fontId="14" numFmtId="0" xfId="0" applyAlignment="1" applyBorder="1" applyFont="1">
      <alignment vertical="center"/>
    </xf>
    <xf borderId="31" fillId="0" fontId="1" numFmtId="0" xfId="0" applyAlignment="1" applyBorder="1" applyFont="1">
      <alignment horizontal="center" vertical="center"/>
    </xf>
    <xf borderId="31" fillId="0" fontId="6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left" shrinkToFit="0" vertical="center" wrapText="1"/>
    </xf>
    <xf borderId="38" fillId="11" fontId="6" numFmtId="0" xfId="0" applyAlignment="1" applyBorder="1" applyFont="1">
      <alignment shrinkToFit="0" vertical="center" wrapText="1"/>
    </xf>
    <xf borderId="38" fillId="11" fontId="6" numFmtId="0" xfId="0" applyAlignment="1" applyBorder="1" applyFont="1">
      <alignment horizontal="center" shrinkToFit="0" vertical="center" wrapText="1"/>
    </xf>
    <xf borderId="31" fillId="0" fontId="1" numFmtId="3" xfId="0" applyAlignment="1" applyBorder="1" applyFont="1" applyNumberFormat="1">
      <alignment horizontal="center" vertical="center"/>
    </xf>
    <xf borderId="38" fillId="3" fontId="6" numFmtId="0" xfId="0" applyAlignment="1" applyBorder="1" applyFont="1">
      <alignment vertical="center"/>
    </xf>
    <xf borderId="38" fillId="3" fontId="10" numFmtId="0" xfId="0" applyAlignment="1" applyBorder="1" applyFont="1">
      <alignment vertical="center"/>
    </xf>
    <xf borderId="38" fillId="3" fontId="8" numFmtId="0" xfId="0" applyAlignment="1" applyBorder="1" applyFont="1">
      <alignment horizontal="center" vertical="center"/>
    </xf>
    <xf borderId="38" fillId="6" fontId="6" numFmtId="0" xfId="0" applyAlignment="1" applyBorder="1" applyFont="1">
      <alignment shrinkToFit="0" vertical="center" wrapText="1"/>
    </xf>
    <xf borderId="38" fillId="6" fontId="6" numFmtId="0" xfId="0" applyAlignment="1" applyBorder="1" applyFont="1">
      <alignment horizontal="center" shrinkToFit="0" vertical="center" wrapText="1"/>
    </xf>
    <xf borderId="42" fillId="0" fontId="6" numFmtId="0" xfId="0" applyAlignment="1" applyBorder="1" applyFont="1">
      <alignment horizontal="center" vertical="center"/>
    </xf>
    <xf borderId="31" fillId="0" fontId="6" numFmtId="0" xfId="0" applyAlignment="1" applyBorder="1" applyFont="1">
      <alignment vertical="center"/>
    </xf>
    <xf borderId="41" fillId="0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vertical="bottom"/>
    </xf>
    <xf borderId="40" fillId="0" fontId="6" numFmtId="0" xfId="0" applyAlignment="1" applyBorder="1" applyFont="1">
      <alignment horizontal="center" vertical="center"/>
    </xf>
    <xf borderId="38" fillId="7" fontId="8" numFmtId="0" xfId="0" applyAlignment="1" applyBorder="1" applyFont="1">
      <alignment shrinkToFit="0" vertical="center" wrapText="1"/>
    </xf>
    <xf borderId="38" fillId="7" fontId="10" numFmtId="0" xfId="0" applyAlignment="1" applyBorder="1" applyFont="1">
      <alignment shrinkToFit="0" vertical="center" wrapText="1"/>
    </xf>
    <xf borderId="38" fillId="7" fontId="8" numFmtId="0" xfId="0" applyAlignment="1" applyBorder="1" applyFont="1">
      <alignment horizontal="center" shrinkToFit="0" vertical="center" wrapText="1"/>
    </xf>
    <xf borderId="39" fillId="7" fontId="18" numFmtId="0" xfId="0" applyAlignment="1" applyBorder="1" applyFont="1">
      <alignment vertical="center"/>
    </xf>
    <xf borderId="48" fillId="3" fontId="8" numFmtId="164" xfId="0" applyAlignment="1" applyBorder="1" applyFont="1" applyNumberFormat="1">
      <alignment horizontal="center" vertical="center"/>
    </xf>
    <xf borderId="49" fillId="3" fontId="8" numFmtId="164" xfId="0" applyAlignment="1" applyBorder="1" applyFont="1" applyNumberFormat="1">
      <alignment horizontal="center" vertical="center"/>
    </xf>
    <xf borderId="31" fillId="3" fontId="8" numFmtId="164" xfId="0" applyAlignment="1" applyBorder="1" applyFont="1" applyNumberFormat="1">
      <alignment horizontal="center" vertical="center"/>
    </xf>
    <xf borderId="38" fillId="5" fontId="6" numFmtId="0" xfId="0" applyAlignment="1" applyBorder="1" applyFont="1">
      <alignment horizontal="left" vertical="center"/>
    </xf>
    <xf borderId="38" fillId="5" fontId="6" numFmtId="0" xfId="0" applyAlignment="1" applyBorder="1" applyFont="1">
      <alignment vertical="center"/>
    </xf>
    <xf borderId="38" fillId="5" fontId="6" numFmtId="0" xfId="0" applyAlignment="1" applyBorder="1" applyFont="1">
      <alignment horizontal="center" vertical="center"/>
    </xf>
    <xf borderId="39" fillId="0" fontId="14" numFmtId="164" xfId="0" applyAlignment="1" applyBorder="1" applyFont="1" applyNumberFormat="1">
      <alignment vertical="center"/>
    </xf>
    <xf borderId="41" fillId="0" fontId="6" numFmtId="0" xfId="0" applyAlignment="1" applyBorder="1" applyFont="1">
      <alignment vertical="center"/>
    </xf>
    <xf borderId="39" fillId="0" fontId="6" numFmtId="0" xfId="0" applyAlignment="1" applyBorder="1" applyFont="1">
      <alignment vertical="center"/>
    </xf>
    <xf borderId="39" fillId="7" fontId="14" numFmtId="164" xfId="0" applyAlignment="1" applyBorder="1" applyFont="1" applyNumberFormat="1">
      <alignment vertical="center"/>
    </xf>
    <xf borderId="31" fillId="7" fontId="19" numFmtId="0" xfId="0" applyAlignment="1" applyBorder="1" applyFont="1">
      <alignment horizontal="center" vertical="center"/>
    </xf>
    <xf borderId="48" fillId="7" fontId="19" numFmtId="0" xfId="0" applyAlignment="1" applyBorder="1" applyFont="1">
      <alignment horizontal="center" vertical="center"/>
    </xf>
    <xf borderId="48" fillId="7" fontId="16" numFmtId="0" xfId="0" applyAlignment="1" applyBorder="1" applyFont="1">
      <alignment horizontal="center" vertical="center"/>
    </xf>
    <xf borderId="54" fillId="7" fontId="19" numFmtId="0" xfId="0" applyAlignment="1" applyBorder="1" applyFont="1">
      <alignment horizontal="center" vertical="center"/>
    </xf>
    <xf borderId="38" fillId="13" fontId="6" numFmtId="0" xfId="0" applyAlignment="1" applyBorder="1" applyFill="1" applyFont="1">
      <alignment horizontal="left" vertical="center"/>
    </xf>
    <xf borderId="38" fillId="13" fontId="6" numFmtId="0" xfId="0" applyAlignment="1" applyBorder="1" applyFont="1">
      <alignment vertical="center"/>
    </xf>
    <xf borderId="38" fillId="13" fontId="6" numFmtId="0" xfId="0" applyAlignment="1" applyBorder="1" applyFont="1">
      <alignment horizontal="center" vertical="center"/>
    </xf>
    <xf borderId="39" fillId="0" fontId="20" numFmtId="0" xfId="0" applyAlignment="1" applyBorder="1" applyFont="1">
      <alignment horizontal="center" shrinkToFit="0" vertical="center" wrapText="1"/>
    </xf>
    <xf borderId="39" fillId="0" fontId="14" numFmtId="0" xfId="0" applyAlignment="1" applyBorder="1" applyFont="1">
      <alignment shrinkToFit="0" vertical="center" wrapText="1"/>
    </xf>
    <xf borderId="38" fillId="7" fontId="6" numFmtId="0" xfId="0" applyAlignment="1" applyBorder="1" applyFont="1">
      <alignment horizontal="center" vertical="center"/>
    </xf>
    <xf borderId="55" fillId="7" fontId="14" numFmtId="0" xfId="0" applyAlignment="1" applyBorder="1" applyFont="1">
      <alignment vertical="center"/>
    </xf>
    <xf borderId="47" fillId="7" fontId="6" numFmtId="164" xfId="0" applyAlignment="1" applyBorder="1" applyFont="1" applyNumberFormat="1">
      <alignment horizontal="center" vertical="center"/>
    </xf>
    <xf borderId="31" fillId="6" fontId="6" numFmtId="167" xfId="0" applyAlignment="1" applyBorder="1" applyFont="1" applyNumberFormat="1">
      <alignment horizontal="center" vertical="center"/>
    </xf>
    <xf borderId="31" fillId="0" fontId="14" numFmtId="0" xfId="0" applyAlignment="1" applyBorder="1" applyFont="1">
      <alignment horizontal="center" vertical="center"/>
    </xf>
    <xf borderId="56" fillId="7" fontId="6" numFmtId="0" xfId="0" applyAlignment="1" applyBorder="1" applyFont="1">
      <alignment vertical="center"/>
    </xf>
    <xf borderId="56" fillId="7" fontId="10" numFmtId="0" xfId="0" applyAlignment="1" applyBorder="1" applyFont="1">
      <alignment vertical="center"/>
    </xf>
    <xf borderId="56" fillId="7" fontId="8" numFmtId="0" xfId="0" applyAlignment="1" applyBorder="1" applyFont="1">
      <alignment horizontal="center" vertical="center"/>
    </xf>
    <xf borderId="55" fillId="7" fontId="6" numFmtId="0" xfId="0" applyAlignment="1" applyBorder="1" applyFont="1">
      <alignment vertical="center"/>
    </xf>
    <xf borderId="38" fillId="8" fontId="6" numFmtId="168" xfId="0" applyAlignment="1" applyBorder="1" applyFont="1" applyNumberFormat="1">
      <alignment vertical="center"/>
    </xf>
    <xf borderId="38" fillId="8" fontId="6" numFmtId="1" xfId="0" applyAlignment="1" applyBorder="1" applyFont="1" applyNumberFormat="1">
      <alignment horizontal="center" vertical="center"/>
    </xf>
    <xf borderId="39" fillId="0" fontId="14" numFmtId="0" xfId="0" applyAlignment="1" applyBorder="1" applyFont="1">
      <alignment horizontal="center" vertical="center"/>
    </xf>
    <xf borderId="38" fillId="7" fontId="10" numFmtId="168" xfId="0" applyAlignment="1" applyBorder="1" applyFont="1" applyNumberFormat="1">
      <alignment vertical="center"/>
    </xf>
    <xf borderId="38" fillId="7" fontId="8" numFmtId="168" xfId="0" applyAlignment="1" applyBorder="1" applyFont="1" applyNumberFormat="1">
      <alignment horizontal="center" vertical="center"/>
    </xf>
    <xf borderId="57" fillId="7" fontId="6" numFmtId="164" xfId="0" applyAlignment="1" applyBorder="1" applyFont="1" applyNumberFormat="1">
      <alignment horizontal="center" vertical="center"/>
    </xf>
    <xf borderId="58" fillId="7" fontId="6" numFmtId="0" xfId="0" applyAlignment="1" applyBorder="1" applyFont="1">
      <alignment vertical="center"/>
    </xf>
    <xf borderId="49" fillId="6" fontId="6" numFmtId="164" xfId="0" applyAlignment="1" applyBorder="1" applyFont="1" applyNumberFormat="1">
      <alignment horizontal="center" vertical="center"/>
    </xf>
    <xf borderId="31" fillId="8" fontId="6" numFmtId="0" xfId="0" applyAlignment="1" applyBorder="1" applyFont="1">
      <alignment horizontal="center" vertical="center"/>
    </xf>
    <xf borderId="31" fillId="8" fontId="6" numFmtId="0" xfId="0" applyAlignment="1" applyBorder="1" applyFont="1">
      <alignment horizontal="left" vertical="center"/>
    </xf>
    <xf borderId="59" fillId="0" fontId="6" numFmtId="0" xfId="0" applyAlignment="1" applyBorder="1" applyFont="1">
      <alignment vertical="center"/>
    </xf>
    <xf borderId="59" fillId="0" fontId="6" numFmtId="168" xfId="0" applyAlignment="1" applyBorder="1" applyFont="1" applyNumberFormat="1">
      <alignment vertical="center"/>
    </xf>
    <xf borderId="59" fillId="0" fontId="6" numFmtId="168" xfId="0" applyAlignment="1" applyBorder="1" applyFont="1" applyNumberFormat="1">
      <alignment horizontal="center" vertical="center"/>
    </xf>
    <xf borderId="18" fillId="14" fontId="8" numFmtId="164" xfId="0" applyAlignment="1" applyBorder="1" applyFill="1" applyFont="1" applyNumberFormat="1">
      <alignment horizontal="center" vertical="center"/>
    </xf>
    <xf borderId="15" fillId="14" fontId="6" numFmtId="164" xfId="0" applyAlignment="1" applyBorder="1" applyFont="1" applyNumberFormat="1">
      <alignment horizontal="center" vertical="center"/>
    </xf>
    <xf borderId="60" fillId="0" fontId="6" numFmtId="0" xfId="0" applyAlignment="1" applyBorder="1" applyFont="1">
      <alignment vertical="center"/>
    </xf>
    <xf borderId="61" fillId="0" fontId="6" numFmtId="164" xfId="0" applyAlignment="1" applyBorder="1" applyFont="1" applyNumberFormat="1">
      <alignment horizontal="center" vertical="center"/>
    </xf>
    <xf borderId="18" fillId="0" fontId="6" numFmtId="164" xfId="0" applyAlignment="1" applyBorder="1" applyFont="1" applyNumberFormat="1">
      <alignment horizontal="center" vertical="center"/>
    </xf>
    <xf borderId="62" fillId="0" fontId="6" numFmtId="2" xfId="0" applyAlignment="1" applyBorder="1" applyFont="1" applyNumberFormat="1">
      <alignment horizontal="center" vertical="center"/>
    </xf>
    <xf borderId="18" fillId="0" fontId="6" numFmtId="2" xfId="0" applyAlignment="1" applyBorder="1" applyFont="1" applyNumberFormat="1">
      <alignment horizontal="center" vertical="center"/>
    </xf>
    <xf borderId="18" fillId="0" fontId="6" numFmtId="0" xfId="0" applyAlignment="1" applyBorder="1" applyFont="1">
      <alignment vertical="center"/>
    </xf>
    <xf borderId="63" fillId="0" fontId="6" numFmtId="0" xfId="0" applyAlignment="1" applyBorder="1" applyFont="1">
      <alignment vertical="center"/>
    </xf>
    <xf borderId="64" fillId="0" fontId="6" numFmtId="0" xfId="0" applyAlignment="1" applyBorder="1" applyFont="1">
      <alignment vertical="center"/>
    </xf>
    <xf borderId="51" fillId="0" fontId="6" numFmtId="164" xfId="0" applyAlignment="1" applyBorder="1" applyFont="1" applyNumberFormat="1">
      <alignment horizontal="center" vertical="center"/>
    </xf>
    <xf borderId="51" fillId="0" fontId="8" numFmtId="0" xfId="0" applyAlignment="1" applyBorder="1" applyFont="1">
      <alignment horizontal="center" vertical="center"/>
    </xf>
    <xf borderId="51" fillId="0" fontId="8" numFmtId="164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5" fillId="3" fontId="11" numFmtId="164" xfId="0" applyAlignment="1" applyBorder="1" applyFont="1" applyNumberFormat="1">
      <alignment horizontal="center" shrinkToFit="0" vertical="center" wrapText="1"/>
    </xf>
    <xf borderId="6" fillId="3" fontId="11" numFmtId="164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23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47" fillId="11" fontId="24" numFmtId="0" xfId="0" applyAlignment="1" applyBorder="1" applyFont="1">
      <alignment horizontal="left" vertical="center"/>
    </xf>
    <xf borderId="47" fillId="11" fontId="1" numFmtId="0" xfId="0" applyAlignment="1" applyBorder="1" applyFont="1">
      <alignment horizontal="center" shrinkToFit="0" vertical="center" wrapText="1"/>
    </xf>
    <xf borderId="65" fillId="0" fontId="9" numFmtId="0" xfId="0" applyAlignment="1" applyBorder="1" applyFont="1">
      <alignment vertical="center"/>
    </xf>
    <xf borderId="65" fillId="0" fontId="1" numFmtId="0" xfId="0" applyAlignment="1" applyBorder="1" applyFont="1">
      <alignment horizontal="center" shrinkToFit="0" vertical="center" wrapText="1"/>
    </xf>
    <xf borderId="65" fillId="0" fontId="1" numFmtId="0" xfId="0" applyAlignment="1" applyBorder="1" applyFont="1">
      <alignment shrinkToFit="0" vertical="center" wrapText="1"/>
    </xf>
    <xf borderId="66" fillId="0" fontId="7" numFmtId="0" xfId="0" applyAlignment="1" applyBorder="1" applyFont="1">
      <alignment horizontal="center" shrinkToFit="0" vertical="center" wrapText="1"/>
    </xf>
    <xf borderId="67" fillId="0" fontId="7" numFmtId="0" xfId="0" applyAlignment="1" applyBorder="1" applyFont="1">
      <alignment horizontal="center" shrinkToFit="0" vertical="center" wrapText="1"/>
    </xf>
    <xf borderId="67" fillId="0" fontId="1" numFmtId="0" xfId="0" applyAlignment="1" applyBorder="1" applyFont="1">
      <alignment shrinkToFit="0" vertical="center" wrapText="1"/>
    </xf>
    <xf borderId="67" fillId="0" fontId="1" numFmtId="0" xfId="0" applyAlignment="1" applyBorder="1" applyFont="1">
      <alignment horizontal="center" shrinkToFit="0" vertical="center" wrapText="1"/>
    </xf>
    <xf borderId="65" fillId="0" fontId="1" numFmtId="0" xfId="0" applyAlignment="1" applyBorder="1" applyFont="1">
      <alignment vertical="center"/>
    </xf>
    <xf borderId="21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20" fillId="0" fontId="7" numFmtId="0" xfId="0" applyAlignment="1" applyBorder="1" applyFont="1">
      <alignment horizontal="center" shrinkToFit="0" vertical="center" wrapText="1"/>
    </xf>
    <xf borderId="21" fillId="0" fontId="7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14" fillId="15" fontId="1" numFmtId="0" xfId="0" applyAlignment="1" applyBorder="1" applyFill="1" applyFont="1">
      <alignment horizontal="center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shrinkToFit="0" vertical="center" wrapText="1"/>
    </xf>
    <xf borderId="55" fillId="16" fontId="7" numFmtId="0" xfId="0" applyAlignment="1" applyBorder="1" applyFill="1" applyFont="1">
      <alignment horizontal="center" shrinkToFit="0" vertical="center" wrapText="1"/>
    </xf>
    <xf borderId="14" fillId="16" fontId="7" numFmtId="0" xfId="0" applyAlignment="1" applyBorder="1" applyFont="1">
      <alignment shrinkToFit="0" vertical="center" wrapText="1"/>
    </xf>
    <xf borderId="14" fillId="16" fontId="1" numFmtId="0" xfId="0" applyAlignment="1" applyBorder="1" applyFont="1">
      <alignment horizontal="center" shrinkToFit="0" vertical="center" wrapText="1"/>
    </xf>
    <xf borderId="14" fillId="16" fontId="25" numFmtId="0" xfId="0" applyAlignment="1" applyBorder="1" applyFont="1">
      <alignment horizontal="center" shrinkToFit="0" vertical="center" wrapText="1"/>
    </xf>
    <xf borderId="14" fillId="16" fontId="1" numFmtId="0" xfId="0" applyAlignment="1" applyBorder="1" applyFont="1">
      <alignment shrinkToFit="0" vertical="center" wrapText="1"/>
    </xf>
    <xf borderId="14" fillId="8" fontId="1" numFmtId="0" xfId="0" applyAlignment="1" applyBorder="1" applyFont="1">
      <alignment horizontal="center" shrinkToFit="0" vertical="center" wrapText="1"/>
    </xf>
    <xf borderId="14" fillId="16" fontId="1" numFmtId="3" xfId="0" applyAlignment="1" applyBorder="1" applyFont="1" applyNumberFormat="1">
      <alignment horizontal="center" shrinkToFit="0" vertical="center" wrapText="1"/>
    </xf>
    <xf borderId="14" fillId="16" fontId="7" numFmtId="0" xfId="0" applyAlignment="1" applyBorder="1" applyFont="1">
      <alignment horizontal="center" shrinkToFit="0" vertical="center" wrapText="1"/>
    </xf>
    <xf borderId="44" fillId="0" fontId="7" numFmtId="0" xfId="0" applyAlignment="1" applyBorder="1" applyFont="1">
      <alignment horizontal="center" shrinkToFit="0" vertical="center" wrapText="1"/>
    </xf>
    <xf borderId="21" fillId="0" fontId="7" numFmtId="0" xfId="0" applyAlignment="1" applyBorder="1" applyFont="1">
      <alignment shrinkToFit="0" vertical="center" wrapText="1"/>
    </xf>
    <xf borderId="21" fillId="0" fontId="25" numFmtId="0" xfId="0" applyAlignment="1" applyBorder="1" applyFont="1">
      <alignment horizontal="center" shrinkToFit="0" vertical="center" wrapText="1"/>
    </xf>
    <xf borderId="21" fillId="0" fontId="1" numFmtId="3" xfId="0" applyAlignment="1" applyBorder="1" applyFont="1" applyNumberFormat="1">
      <alignment horizontal="center" shrinkToFit="0" vertical="center" wrapText="1"/>
    </xf>
    <xf borderId="68" fillId="0" fontId="7" numFmtId="0" xfId="0" applyAlignment="1" applyBorder="1" applyFont="1">
      <alignment horizontal="center" shrinkToFit="0" vertical="center" wrapText="1"/>
    </xf>
    <xf borderId="14" fillId="15" fontId="7" numFmtId="0" xfId="0" applyAlignment="1" applyBorder="1" applyFont="1">
      <alignment horizontal="center" shrinkToFit="0" vertical="center" wrapText="1"/>
    </xf>
    <xf borderId="55" fillId="17" fontId="7" numFmtId="0" xfId="0" applyAlignment="1" applyBorder="1" applyFill="1" applyFont="1">
      <alignment horizontal="center" shrinkToFit="0" vertical="center" wrapText="1"/>
    </xf>
    <xf borderId="14" fillId="17" fontId="7" numFmtId="0" xfId="0" applyAlignment="1" applyBorder="1" applyFont="1">
      <alignment shrinkToFit="0" vertical="center" wrapText="1"/>
    </xf>
    <xf borderId="14" fillId="17" fontId="1" numFmtId="0" xfId="0" applyAlignment="1" applyBorder="1" applyFont="1">
      <alignment horizontal="center" shrinkToFit="0" vertical="center" wrapText="1"/>
    </xf>
    <xf borderId="14" fillId="17" fontId="25" numFmtId="0" xfId="0" applyAlignment="1" applyBorder="1" applyFont="1">
      <alignment horizontal="center" shrinkToFit="0" vertical="center" wrapText="1"/>
    </xf>
    <xf borderId="14" fillId="17" fontId="1" numFmtId="0" xfId="0" applyAlignment="1" applyBorder="1" applyFont="1">
      <alignment shrinkToFit="0" vertical="center" wrapText="1"/>
    </xf>
    <xf borderId="14" fillId="17" fontId="1" numFmtId="3" xfId="0" applyAlignment="1" applyBorder="1" applyFont="1" applyNumberFormat="1">
      <alignment horizontal="center" shrinkToFit="0" vertical="center" wrapText="1"/>
    </xf>
    <xf borderId="51" fillId="0" fontId="7" numFmtId="0" xfId="0" applyAlignment="1" applyBorder="1" applyFont="1">
      <alignment horizontal="center" shrinkToFit="0" vertical="center" wrapText="1"/>
    </xf>
    <xf borderId="14" fillId="17" fontId="7" numFmtId="0" xfId="0" applyAlignment="1" applyBorder="1" applyFont="1">
      <alignment horizontal="center" shrinkToFit="0" vertical="center" wrapText="1"/>
    </xf>
    <xf borderId="14" fillId="10" fontId="1" numFmtId="0" xfId="0" applyAlignment="1" applyBorder="1" applyFont="1">
      <alignment horizontal="center" shrinkToFit="0" vertical="center" wrapText="1"/>
    </xf>
    <xf borderId="56" fillId="10" fontId="7" numFmtId="0" xfId="0" applyAlignment="1" applyBorder="1" applyFont="1">
      <alignment horizontal="center" shrinkToFit="0" vertical="center" wrapText="1"/>
    </xf>
    <xf borderId="55" fillId="10" fontId="7" numFmtId="0" xfId="0" applyAlignment="1" applyBorder="1" applyFont="1">
      <alignment horizontal="center" shrinkToFit="0" vertical="center" wrapText="1"/>
    </xf>
    <xf borderId="14" fillId="10" fontId="25" numFmtId="0" xfId="0" applyAlignment="1" applyBorder="1" applyFont="1">
      <alignment horizontal="center" shrinkToFit="0" vertical="center" wrapText="1"/>
    </xf>
    <xf borderId="14" fillId="10" fontId="1" numFmtId="0" xfId="0" applyAlignment="1" applyBorder="1" applyFont="1">
      <alignment shrinkToFit="0" vertical="center" wrapText="1"/>
    </xf>
    <xf borderId="14" fillId="10" fontId="7" numFmtId="0" xfId="0" applyAlignment="1" applyBorder="1" applyFont="1">
      <alignment shrinkToFit="0" vertical="center" wrapText="1"/>
    </xf>
    <xf borderId="14" fillId="10" fontId="1" numFmtId="3" xfId="0" applyAlignment="1" applyBorder="1" applyFont="1" applyNumberFormat="1">
      <alignment horizontal="center" shrinkToFit="0" vertical="center" wrapText="1"/>
    </xf>
    <xf borderId="13" fillId="10" fontId="7" numFmtId="0" xfId="0" applyAlignment="1" applyBorder="1" applyFont="1">
      <alignment horizontal="center" shrinkToFit="0" vertical="center" wrapText="1"/>
    </xf>
    <xf borderId="14" fillId="10" fontId="7" numFmtId="0" xfId="0" applyAlignment="1" applyBorder="1" applyFont="1">
      <alignment horizontal="center" shrinkToFit="0" vertical="center" wrapText="1"/>
    </xf>
    <xf borderId="26" fillId="10" fontId="10" numFmtId="0" xfId="0" applyAlignment="1" applyBorder="1" applyFont="1">
      <alignment horizontal="center" shrinkToFit="0" vertical="center" wrapText="1"/>
    </xf>
    <xf borderId="26" fillId="18" fontId="7" numFmtId="0" xfId="0" applyAlignment="1" applyBorder="1" applyFill="1" applyFont="1">
      <alignment horizontal="center" shrinkToFit="0" vertical="center" wrapText="1"/>
    </xf>
    <xf borderId="14" fillId="18" fontId="10" numFmtId="0" xfId="0" applyAlignment="1" applyBorder="1" applyFont="1">
      <alignment shrinkToFit="0" vertical="center" wrapText="1"/>
    </xf>
    <xf borderId="14" fillId="18" fontId="1" numFmtId="0" xfId="0" applyAlignment="1" applyBorder="1" applyFont="1">
      <alignment horizontal="center" shrinkToFit="0" vertical="center" wrapText="1"/>
    </xf>
    <xf borderId="14" fillId="18" fontId="25" numFmtId="0" xfId="0" applyAlignment="1" applyBorder="1" applyFont="1">
      <alignment horizontal="center" shrinkToFit="0" vertical="center" wrapText="1"/>
    </xf>
    <xf borderId="14" fillId="18" fontId="1" numFmtId="0" xfId="0" applyAlignment="1" applyBorder="1" applyFont="1">
      <alignment shrinkToFit="0" vertical="center" wrapText="1"/>
    </xf>
    <xf borderId="14" fillId="18" fontId="7" numFmtId="0" xfId="0" applyAlignment="1" applyBorder="1" applyFont="1">
      <alignment shrinkToFit="0" vertical="center" wrapText="1"/>
    </xf>
    <xf borderId="14" fillId="15" fontId="26" numFmtId="0" xfId="0" applyAlignment="1" applyBorder="1" applyFont="1">
      <alignment horizontal="center" shrinkToFit="0" vertical="bottom" wrapText="1"/>
    </xf>
    <xf borderId="66" fillId="0" fontId="12" numFmtId="0" xfId="0" applyAlignment="1" applyBorder="1" applyFont="1">
      <alignment vertical="center"/>
    </xf>
    <xf borderId="14" fillId="19" fontId="1" numFmtId="0" xfId="0" applyAlignment="1" applyBorder="1" applyFill="1" applyFont="1">
      <alignment horizontal="center" shrinkToFit="0" vertical="center" wrapText="1"/>
    </xf>
    <xf borderId="14" fillId="18" fontId="1" numFmtId="3" xfId="0" applyAlignment="1" applyBorder="1" applyFont="1" applyNumberFormat="1">
      <alignment horizontal="center" shrinkToFit="0" vertical="center" wrapText="1"/>
    </xf>
    <xf borderId="0" fillId="0" fontId="1" numFmtId="17" xfId="0" applyAlignment="1" applyFont="1" applyNumberFormat="1">
      <alignment vertical="center"/>
    </xf>
    <xf borderId="20" fillId="0" fontId="12" numFmtId="0" xfId="0" applyAlignment="1" applyBorder="1" applyFont="1">
      <alignment vertical="center"/>
    </xf>
    <xf borderId="14" fillId="18" fontId="27" numFmtId="0" xfId="0" applyAlignment="1" applyBorder="1" applyFont="1">
      <alignment shrinkToFit="0" vertical="center" wrapText="1"/>
    </xf>
    <xf borderId="20" fillId="0" fontId="10" numFmtId="0" xfId="0" applyAlignment="1" applyBorder="1" applyFont="1">
      <alignment horizontal="center" shrinkToFit="0" vertical="center" wrapText="1"/>
    </xf>
    <xf borderId="21" fillId="0" fontId="10" numFmtId="0" xfId="0" applyAlignment="1" applyBorder="1" applyFont="1">
      <alignment shrinkToFit="0" vertical="center" wrapText="1"/>
    </xf>
    <xf borderId="14" fillId="15" fontId="1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23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left" vertical="center"/>
    </xf>
    <xf borderId="0" fillId="0" fontId="10" numFmtId="0" xfId="0" applyAlignment="1" applyFont="1">
      <alignment horizontal="center" shrinkToFit="0" vertical="center" wrapText="1"/>
    </xf>
    <xf borderId="10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vertical="center"/>
    </xf>
    <xf borderId="65" fillId="0" fontId="6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3" fillId="16" fontId="7" numFmtId="0" xfId="0" applyAlignment="1" applyBorder="1" applyFont="1">
      <alignment horizontal="center" shrinkToFit="0" vertical="center" wrapText="1"/>
    </xf>
    <xf borderId="4" fillId="16" fontId="7" numFmtId="0" xfId="0" applyAlignment="1" applyBorder="1" applyFont="1">
      <alignment horizontal="center" shrinkToFit="0" vertical="center" wrapText="1"/>
    </xf>
    <xf borderId="14" fillId="16" fontId="11" numFmtId="0" xfId="0" applyAlignment="1" applyBorder="1" applyFont="1">
      <alignment horizontal="center" shrinkToFit="0" vertical="center" wrapText="1"/>
    </xf>
    <xf borderId="69" fillId="16" fontId="1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66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6" fillId="0" fontId="7" numFmtId="0" xfId="0" applyAlignment="1" applyBorder="1" applyFont="1">
      <alignment horizontal="center" shrinkToFit="0" vertical="center" wrapText="1"/>
    </xf>
    <xf borderId="21" fillId="0" fontId="11" numFmtId="0" xfId="0" applyAlignment="1" applyBorder="1" applyFont="1">
      <alignment horizontal="center" shrinkToFit="0" vertical="center" wrapText="1"/>
    </xf>
    <xf borderId="14" fillId="17" fontId="11" numFmtId="0" xfId="0" applyAlignment="1" applyBorder="1" applyFont="1">
      <alignment horizontal="center" shrinkToFit="0" vertical="center" wrapText="1"/>
    </xf>
    <xf borderId="69" fillId="17" fontId="1" numFmtId="0" xfId="0" applyAlignment="1" applyBorder="1" applyFont="1">
      <alignment horizontal="center" shrinkToFit="0" vertical="center" wrapText="1"/>
    </xf>
    <xf borderId="4" fillId="17" fontId="7" numFmtId="0" xfId="0" applyAlignment="1" applyBorder="1" applyFont="1">
      <alignment horizontal="center" shrinkToFit="0" vertical="center" wrapText="1"/>
    </xf>
    <xf borderId="3" fillId="10" fontId="7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4" fillId="10" fontId="11" numFmtId="0" xfId="0" applyAlignment="1" applyBorder="1" applyFont="1">
      <alignment horizontal="center" shrinkToFit="0" vertical="center" wrapText="1"/>
    </xf>
    <xf borderId="69" fillId="10" fontId="1" numFmtId="0" xfId="0" applyAlignment="1" applyBorder="1" applyFont="1">
      <alignment horizontal="center" shrinkToFit="0" vertical="center" wrapText="1"/>
    </xf>
    <xf borderId="4" fillId="10" fontId="7" numFmtId="0" xfId="0" applyAlignment="1" applyBorder="1" applyFont="1">
      <alignment horizontal="center" shrinkToFit="0" vertical="center" wrapText="1"/>
    </xf>
    <xf borderId="3" fillId="10" fontId="10" numFmtId="0" xfId="0" applyAlignment="1" applyBorder="1" applyFont="1">
      <alignment horizontal="center" shrinkToFit="0" vertical="center" wrapText="1"/>
    </xf>
    <xf borderId="21" fillId="0" fontId="10" numFmtId="0" xfId="0" applyAlignment="1" applyBorder="1" applyFont="1">
      <alignment horizontal="center" shrinkToFit="0" vertical="center" wrapText="1"/>
    </xf>
    <xf borderId="14" fillId="15" fontId="19" numFmtId="0" xfId="0" applyAlignment="1" applyBorder="1" applyFont="1">
      <alignment horizontal="center" shrinkToFit="0" vertical="center" wrapText="1"/>
    </xf>
    <xf borderId="21" fillId="0" fontId="27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horizontal="center" vertical="center"/>
    </xf>
    <xf borderId="70" fillId="0" fontId="7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65" fillId="0" fontId="7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0" fillId="0" fontId="25" numFmtId="0" xfId="0" applyAlignment="1" applyFont="1">
      <alignment horizontal="center" shrinkToFit="0" vertical="center" wrapText="1"/>
    </xf>
    <xf borderId="0" fillId="0" fontId="25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3" fillId="18" fontId="7" numFmtId="0" xfId="0" applyAlignment="1" applyBorder="1" applyFont="1">
      <alignment horizontal="center" shrinkToFit="0" vertical="center" wrapText="1"/>
    </xf>
    <xf borderId="4" fillId="18" fontId="7" numFmtId="0" xfId="0" applyAlignment="1" applyBorder="1" applyFont="1">
      <alignment horizontal="center" shrinkToFit="0" vertical="center" wrapText="1"/>
    </xf>
    <xf borderId="14" fillId="18" fontId="10" numFmtId="0" xfId="0" applyAlignment="1" applyBorder="1" applyFont="1">
      <alignment horizontal="center" shrinkToFit="0" vertical="center" wrapText="1"/>
    </xf>
    <xf borderId="14" fillId="18" fontId="11" numFmtId="0" xfId="0" applyAlignment="1" applyBorder="1" applyFont="1">
      <alignment horizontal="center" shrinkToFit="0" vertical="center" wrapText="1"/>
    </xf>
    <xf borderId="69" fillId="18" fontId="1" numFmtId="0" xfId="0" applyAlignment="1" applyBorder="1" applyFont="1">
      <alignment horizontal="center" shrinkToFit="0" vertical="center" wrapText="1"/>
    </xf>
    <xf borderId="56" fillId="18" fontId="7" numFmtId="0" xfId="0" applyAlignment="1" applyBorder="1" applyFont="1">
      <alignment horizontal="center" shrinkToFit="0" vertical="center" wrapText="1"/>
    </xf>
    <xf borderId="55" fillId="18" fontId="7" numFmtId="0" xfId="0" applyAlignment="1" applyBorder="1" applyFont="1">
      <alignment horizontal="center" shrinkToFit="0" vertical="center" wrapText="1"/>
    </xf>
    <xf borderId="13" fillId="18" fontId="7" numFmtId="0" xfId="0" applyAlignment="1" applyBorder="1" applyFont="1">
      <alignment horizontal="center" shrinkToFit="0" vertical="center" wrapText="1"/>
    </xf>
    <xf borderId="14" fillId="18" fontId="7" numFmtId="0" xfId="0" applyAlignment="1" applyBorder="1" applyFont="1">
      <alignment horizontal="center" shrinkToFit="0" vertical="center" wrapText="1"/>
    </xf>
    <xf borderId="14" fillId="18" fontId="2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57225" cy="171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piaa.co.jp/english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5.71"/>
    <col customWidth="1" min="2" max="2" width="24.71"/>
    <col customWidth="1" min="3" max="7" width="8.14"/>
    <col customWidth="1" min="8" max="8" width="12.71"/>
    <col customWidth="1" min="9" max="26" width="8.14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2" t="s">
        <v>0</v>
      </c>
      <c r="B3" s="3"/>
      <c r="C3" s="4"/>
      <c r="D3" s="5"/>
      <c r="E3" s="6"/>
      <c r="F3" s="6"/>
      <c r="G3" s="6" t="s">
        <v>1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8" t="s">
        <v>2</v>
      </c>
      <c r="B4" s="9">
        <v>45870.0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" t="s">
        <v>3</v>
      </c>
      <c r="B5" s="10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 t="s">
        <v>5</v>
      </c>
      <c r="B6" s="10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 t="s">
        <v>7</v>
      </c>
      <c r="B7" s="10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 t="s">
        <v>9</v>
      </c>
      <c r="B8" s="10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 t="s">
        <v>11</v>
      </c>
      <c r="B9" s="10" t="s">
        <v>12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 t="s">
        <v>13</v>
      </c>
      <c r="B10" s="10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 t="s">
        <v>15</v>
      </c>
      <c r="B11" s="10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0" t="s">
        <v>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 t="s">
        <v>18</v>
      </c>
      <c r="B13" s="10" t="s">
        <v>19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 t="s">
        <v>20</v>
      </c>
      <c r="B14" s="10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1" t="s">
        <v>22</v>
      </c>
      <c r="B15" s="10" t="s">
        <v>23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2"/>
      <c r="B16" s="1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1" t="s">
        <v>24</v>
      </c>
      <c r="B17" s="14" t="s">
        <v>25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1"/>
      <c r="B18" s="10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1" t="s">
        <v>26</v>
      </c>
      <c r="B19" s="15" t="s">
        <v>27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6" t="s">
        <v>28</v>
      </c>
      <c r="B20" s="17" t="s">
        <v>29</v>
      </c>
      <c r="C20" s="16"/>
      <c r="D20" s="16"/>
      <c r="E20" s="16"/>
      <c r="F20" s="16"/>
      <c r="G20" s="16"/>
      <c r="H20" s="1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43"/>
    <col customWidth="1" min="2" max="2" width="12.14"/>
    <col customWidth="1" min="3" max="3" width="52.0"/>
    <col customWidth="1" min="4" max="4" width="10.29"/>
    <col customWidth="1" min="5" max="6" width="15.29"/>
    <col customWidth="1" min="7" max="7" width="25.86"/>
    <col customWidth="1" hidden="1" min="8" max="9" width="14.0"/>
    <col customWidth="1" hidden="1" min="10" max="10" width="3.0"/>
    <col customWidth="1" min="11" max="13" width="10.86"/>
    <col customWidth="1" min="14" max="17" width="9.43"/>
    <col customWidth="1" min="18" max="18" width="10.29"/>
    <col customWidth="1" min="19" max="19" width="13.43"/>
    <col customWidth="1" min="20" max="26" width="8.71"/>
  </cols>
  <sheetData>
    <row r="1" ht="42.0" customHeight="1">
      <c r="A1" s="18"/>
      <c r="B1" s="19" t="s">
        <v>30</v>
      </c>
      <c r="E1" s="20"/>
      <c r="F1" s="20"/>
      <c r="G1" s="18"/>
      <c r="H1" s="21"/>
      <c r="I1" s="21"/>
      <c r="J1" s="21"/>
      <c r="K1" s="21"/>
      <c r="L1" s="21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49.5" customHeight="1">
      <c r="A2" s="18"/>
      <c r="B2" s="22" t="s">
        <v>31</v>
      </c>
      <c r="C2" s="22" t="s">
        <v>32</v>
      </c>
      <c r="D2" s="23" t="s">
        <v>33</v>
      </c>
      <c r="E2" s="24" t="s">
        <v>34</v>
      </c>
      <c r="F2" s="24" t="s">
        <v>35</v>
      </c>
      <c r="G2" s="25" t="s">
        <v>36</v>
      </c>
      <c r="H2" s="26" t="s">
        <v>37</v>
      </c>
      <c r="I2" s="27" t="s">
        <v>38</v>
      </c>
      <c r="J2" s="28" t="s">
        <v>39</v>
      </c>
      <c r="K2" s="29" t="s">
        <v>40</v>
      </c>
      <c r="L2" s="30"/>
      <c r="M2" s="30"/>
      <c r="N2" s="30"/>
      <c r="O2" s="30"/>
      <c r="P2" s="30"/>
      <c r="Q2" s="30"/>
      <c r="R2" s="30"/>
      <c r="S2" s="31"/>
      <c r="T2" s="18"/>
      <c r="U2" s="18"/>
      <c r="V2" s="18"/>
      <c r="W2" s="18"/>
      <c r="X2" s="18"/>
      <c r="Y2" s="18"/>
      <c r="Z2" s="18"/>
    </row>
    <row r="3" ht="51.75" customHeight="1">
      <c r="A3" s="18"/>
      <c r="B3" s="32"/>
      <c r="C3" s="32"/>
      <c r="D3" s="33"/>
      <c r="E3" s="34"/>
      <c r="F3" s="34"/>
      <c r="G3" s="35"/>
      <c r="H3" s="36"/>
      <c r="I3" s="37"/>
      <c r="J3" s="37"/>
      <c r="K3" s="38" t="s">
        <v>41</v>
      </c>
      <c r="L3" s="38" t="s">
        <v>42</v>
      </c>
      <c r="M3" s="39" t="s">
        <v>43</v>
      </c>
      <c r="N3" s="40" t="s">
        <v>44</v>
      </c>
      <c r="O3" s="39" t="s">
        <v>45</v>
      </c>
      <c r="P3" s="41" t="s">
        <v>46</v>
      </c>
      <c r="Q3" s="42" t="s">
        <v>47</v>
      </c>
      <c r="R3" s="43" t="s">
        <v>48</v>
      </c>
      <c r="S3" s="44" t="s">
        <v>49</v>
      </c>
      <c r="T3" s="18"/>
      <c r="U3" s="18"/>
      <c r="V3" s="18"/>
      <c r="W3" s="18"/>
      <c r="X3" s="18"/>
      <c r="Y3" s="18"/>
      <c r="Z3" s="18"/>
    </row>
    <row r="4" ht="36.0" customHeight="1">
      <c r="A4" s="18"/>
      <c r="B4" s="45" t="s">
        <v>50</v>
      </c>
      <c r="C4" s="45" t="s">
        <v>51</v>
      </c>
      <c r="D4" s="46" t="s">
        <v>52</v>
      </c>
      <c r="E4" s="47" t="s">
        <v>53</v>
      </c>
      <c r="F4" s="48" t="s">
        <v>54</v>
      </c>
      <c r="G4" s="49" t="s">
        <v>55</v>
      </c>
      <c r="H4" s="50"/>
      <c r="I4" s="51"/>
      <c r="J4" s="52"/>
      <c r="K4" s="53" t="s">
        <v>56</v>
      </c>
      <c r="L4" s="53" t="s">
        <v>57</v>
      </c>
      <c r="M4" s="54" t="s">
        <v>58</v>
      </c>
      <c r="N4" s="55" t="s">
        <v>59</v>
      </c>
      <c r="O4" s="56" t="s">
        <v>60</v>
      </c>
      <c r="P4" s="55" t="s">
        <v>61</v>
      </c>
      <c r="Q4" s="57" t="s">
        <v>62</v>
      </c>
      <c r="R4" s="58" t="s">
        <v>63</v>
      </c>
      <c r="S4" s="53" t="s">
        <v>64</v>
      </c>
      <c r="T4" s="18"/>
      <c r="U4" s="18"/>
      <c r="V4" s="18"/>
      <c r="W4" s="18"/>
      <c r="X4" s="18"/>
      <c r="Y4" s="18"/>
      <c r="Z4" s="18"/>
    </row>
    <row r="5" ht="16.5" customHeight="1">
      <c r="A5" s="21"/>
      <c r="B5" s="59"/>
      <c r="C5" s="60" t="s">
        <v>65</v>
      </c>
      <c r="D5" s="61"/>
      <c r="E5" s="62" t="s">
        <v>53</v>
      </c>
      <c r="F5" s="62" t="s">
        <v>35</v>
      </c>
      <c r="G5" s="63"/>
      <c r="H5" s="64"/>
      <c r="I5" s="65"/>
      <c r="J5" s="66"/>
      <c r="K5" s="67"/>
      <c r="L5" s="68"/>
      <c r="M5" s="69"/>
      <c r="N5" s="69"/>
      <c r="O5" s="69"/>
      <c r="P5" s="69"/>
      <c r="Q5" s="69"/>
      <c r="R5" s="70"/>
      <c r="S5" s="71"/>
      <c r="T5" s="18"/>
      <c r="U5" s="18"/>
      <c r="V5" s="18"/>
      <c r="W5" s="18"/>
      <c r="X5" s="18"/>
      <c r="Y5" s="18"/>
      <c r="Z5" s="18"/>
    </row>
    <row r="6" ht="15.0" customHeight="1">
      <c r="A6" s="21"/>
      <c r="B6" s="72" t="s">
        <v>66</v>
      </c>
      <c r="C6" s="73" t="s">
        <v>67</v>
      </c>
      <c r="D6" s="74">
        <v>2.0</v>
      </c>
      <c r="E6" s="75">
        <f t="shared" ref="E6:E16" si="1">F6 - (F6/11)</f>
        <v>390.9090909</v>
      </c>
      <c r="F6" s="75">
        <v>430.0</v>
      </c>
      <c r="G6" s="76" t="s">
        <v>68</v>
      </c>
      <c r="H6" s="77" t="str">
        <f t="shared" ref="H6:H16" si="2">SUM(#REF!)</f>
        <v>#REF!</v>
      </c>
      <c r="I6" s="78" t="str">
        <f t="shared" ref="I6:I16" si="3">#REF!*H6</f>
        <v>#REF!</v>
      </c>
      <c r="J6" s="79" t="str">
        <f t="shared" ref="J6:J16" si="4">I6*1.65</f>
        <v>#REF!</v>
      </c>
      <c r="K6" s="80">
        <v>9.2</v>
      </c>
      <c r="L6" s="81">
        <v>2500.0</v>
      </c>
      <c r="M6" s="82" t="s">
        <v>69</v>
      </c>
      <c r="N6" s="83">
        <v>3760.0</v>
      </c>
      <c r="O6" s="83" t="s">
        <v>70</v>
      </c>
      <c r="P6" s="83"/>
      <c r="Q6" s="82" t="s">
        <v>71</v>
      </c>
      <c r="R6" s="84" t="s">
        <v>72</v>
      </c>
      <c r="S6" s="85" t="s">
        <v>73</v>
      </c>
      <c r="T6" s="18"/>
      <c r="U6" s="18"/>
      <c r="V6" s="18"/>
      <c r="W6" s="18"/>
      <c r="X6" s="18"/>
      <c r="Y6" s="18"/>
      <c r="Z6" s="18"/>
    </row>
    <row r="7" ht="15.0" customHeight="1">
      <c r="A7" s="21"/>
      <c r="B7" s="72" t="s">
        <v>74</v>
      </c>
      <c r="C7" s="73" t="s">
        <v>75</v>
      </c>
      <c r="D7" s="74">
        <v>2.0</v>
      </c>
      <c r="E7" s="75">
        <f t="shared" si="1"/>
        <v>363.6363636</v>
      </c>
      <c r="F7" s="75">
        <v>400.0</v>
      </c>
      <c r="G7" s="76" t="s">
        <v>68</v>
      </c>
      <c r="H7" s="77" t="str">
        <f t="shared" si="2"/>
        <v>#REF!</v>
      </c>
      <c r="I7" s="78" t="str">
        <f t="shared" si="3"/>
        <v>#REF!</v>
      </c>
      <c r="J7" s="79" t="str">
        <f t="shared" si="4"/>
        <v>#REF!</v>
      </c>
      <c r="K7" s="80">
        <v>9.2</v>
      </c>
      <c r="L7" s="81">
        <v>5600.0</v>
      </c>
      <c r="M7" s="82" t="s">
        <v>69</v>
      </c>
      <c r="N7" s="83">
        <v>23200.0</v>
      </c>
      <c r="O7" s="83" t="s">
        <v>70</v>
      </c>
      <c r="P7" s="83"/>
      <c r="Q7" s="82" t="s">
        <v>71</v>
      </c>
      <c r="R7" s="84" t="s">
        <v>72</v>
      </c>
      <c r="S7" s="85" t="s">
        <v>76</v>
      </c>
      <c r="T7" s="18"/>
      <c r="U7" s="18"/>
      <c r="V7" s="18"/>
      <c r="W7" s="18"/>
      <c r="X7" s="18"/>
      <c r="Y7" s="18"/>
      <c r="Z7" s="18"/>
    </row>
    <row r="8" ht="15.0" customHeight="1">
      <c r="A8" s="21"/>
      <c r="B8" s="72" t="s">
        <v>77</v>
      </c>
      <c r="C8" s="73" t="s">
        <v>78</v>
      </c>
      <c r="D8" s="74">
        <v>2.0</v>
      </c>
      <c r="E8" s="75">
        <f t="shared" si="1"/>
        <v>390.9090909</v>
      </c>
      <c r="F8" s="75">
        <v>430.0</v>
      </c>
      <c r="G8" s="76" t="s">
        <v>68</v>
      </c>
      <c r="H8" s="77" t="str">
        <f t="shared" si="2"/>
        <v>#REF!</v>
      </c>
      <c r="I8" s="78" t="str">
        <f t="shared" si="3"/>
        <v>#REF!</v>
      </c>
      <c r="J8" s="79" t="str">
        <f t="shared" si="4"/>
        <v>#REF!</v>
      </c>
      <c r="K8" s="80">
        <v>9.2</v>
      </c>
      <c r="L8" s="81">
        <v>2500.0</v>
      </c>
      <c r="M8" s="82" t="s">
        <v>69</v>
      </c>
      <c r="N8" s="83">
        <v>3760.0</v>
      </c>
      <c r="O8" s="83" t="s">
        <v>70</v>
      </c>
      <c r="P8" s="83"/>
      <c r="Q8" s="82" t="s">
        <v>71</v>
      </c>
      <c r="R8" s="84" t="s">
        <v>72</v>
      </c>
      <c r="S8" s="86" t="s">
        <v>76</v>
      </c>
      <c r="T8" s="18"/>
      <c r="U8" s="18"/>
      <c r="V8" s="18"/>
      <c r="W8" s="18"/>
      <c r="X8" s="18"/>
      <c r="Y8" s="18"/>
      <c r="Z8" s="18"/>
    </row>
    <row r="9" ht="15.0" customHeight="1">
      <c r="A9" s="21"/>
      <c r="B9" s="72" t="s">
        <v>79</v>
      </c>
      <c r="C9" s="73" t="s">
        <v>80</v>
      </c>
      <c r="D9" s="74">
        <v>2.0</v>
      </c>
      <c r="E9" s="75">
        <f t="shared" si="1"/>
        <v>363.6363636</v>
      </c>
      <c r="F9" s="75">
        <v>400.0</v>
      </c>
      <c r="G9" s="76" t="s">
        <v>68</v>
      </c>
      <c r="H9" s="77" t="str">
        <f t="shared" si="2"/>
        <v>#REF!</v>
      </c>
      <c r="I9" s="78" t="str">
        <f t="shared" si="3"/>
        <v>#REF!</v>
      </c>
      <c r="J9" s="79" t="str">
        <f t="shared" si="4"/>
        <v>#REF!</v>
      </c>
      <c r="K9" s="80">
        <v>9.2</v>
      </c>
      <c r="L9" s="81">
        <v>5600.0</v>
      </c>
      <c r="M9" s="82" t="s">
        <v>69</v>
      </c>
      <c r="N9" s="83">
        <v>23200.0</v>
      </c>
      <c r="O9" s="83" t="s">
        <v>70</v>
      </c>
      <c r="P9" s="83"/>
      <c r="Q9" s="82" t="s">
        <v>71</v>
      </c>
      <c r="R9" s="84" t="s">
        <v>72</v>
      </c>
      <c r="S9" s="86" t="s">
        <v>73</v>
      </c>
      <c r="T9" s="18"/>
      <c r="U9" s="18"/>
      <c r="V9" s="18"/>
      <c r="W9" s="18"/>
      <c r="X9" s="18"/>
      <c r="Y9" s="18"/>
      <c r="Z9" s="18"/>
    </row>
    <row r="10" ht="15.0" customHeight="1">
      <c r="A10" s="21"/>
      <c r="B10" s="72" t="s">
        <v>81</v>
      </c>
      <c r="C10" s="73" t="s">
        <v>82</v>
      </c>
      <c r="D10" s="74">
        <v>2.0</v>
      </c>
      <c r="E10" s="75">
        <f t="shared" si="1"/>
        <v>454.5454545</v>
      </c>
      <c r="F10" s="75">
        <v>500.0</v>
      </c>
      <c r="G10" s="76" t="s">
        <v>83</v>
      </c>
      <c r="H10" s="77" t="str">
        <f t="shared" si="2"/>
        <v>#REF!</v>
      </c>
      <c r="I10" s="78" t="str">
        <f t="shared" si="3"/>
        <v>#REF!</v>
      </c>
      <c r="J10" s="79" t="str">
        <f t="shared" si="4"/>
        <v>#REF!</v>
      </c>
      <c r="K10" s="80">
        <v>24.0</v>
      </c>
      <c r="L10" s="81">
        <v>2500.0</v>
      </c>
      <c r="M10" s="82" t="s">
        <v>84</v>
      </c>
      <c r="N10" s="83">
        <v>48500.0</v>
      </c>
      <c r="O10" s="83" t="s">
        <v>70</v>
      </c>
      <c r="P10" s="83"/>
      <c r="Q10" s="82" t="s">
        <v>71</v>
      </c>
      <c r="R10" s="84" t="s">
        <v>72</v>
      </c>
      <c r="S10" s="85" t="s">
        <v>85</v>
      </c>
      <c r="T10" s="18"/>
      <c r="U10" s="18"/>
      <c r="V10" s="18"/>
      <c r="W10" s="18"/>
      <c r="X10" s="18"/>
      <c r="Y10" s="18"/>
      <c r="Z10" s="18"/>
    </row>
    <row r="11" ht="15.0" customHeight="1">
      <c r="A11" s="21"/>
      <c r="B11" s="72" t="s">
        <v>86</v>
      </c>
      <c r="C11" s="73" t="s">
        <v>87</v>
      </c>
      <c r="D11" s="74">
        <v>2.0</v>
      </c>
      <c r="E11" s="75">
        <f t="shared" si="1"/>
        <v>436.3636364</v>
      </c>
      <c r="F11" s="75">
        <v>480.0</v>
      </c>
      <c r="G11" s="76" t="s">
        <v>83</v>
      </c>
      <c r="H11" s="77" t="str">
        <f t="shared" si="2"/>
        <v>#REF!</v>
      </c>
      <c r="I11" s="78" t="str">
        <f t="shared" si="3"/>
        <v>#REF!</v>
      </c>
      <c r="J11" s="79" t="str">
        <f t="shared" si="4"/>
        <v>#REF!</v>
      </c>
      <c r="K11" s="80">
        <v>24.0</v>
      </c>
      <c r="L11" s="81">
        <v>5600.0</v>
      </c>
      <c r="M11" s="82" t="s">
        <v>84</v>
      </c>
      <c r="N11" s="83">
        <v>48500.0</v>
      </c>
      <c r="O11" s="83" t="s">
        <v>70</v>
      </c>
      <c r="P11" s="83"/>
      <c r="Q11" s="82" t="s">
        <v>71</v>
      </c>
      <c r="R11" s="84" t="s">
        <v>72</v>
      </c>
      <c r="S11" s="85" t="s">
        <v>88</v>
      </c>
      <c r="T11" s="18"/>
      <c r="U11" s="18"/>
      <c r="V11" s="18"/>
      <c r="W11" s="18"/>
      <c r="X11" s="18"/>
      <c r="Y11" s="18"/>
      <c r="Z11" s="18"/>
    </row>
    <row r="12" ht="15.0" customHeight="1">
      <c r="A12" s="21"/>
      <c r="B12" s="73" t="s">
        <v>89</v>
      </c>
      <c r="C12" s="73" t="s">
        <v>90</v>
      </c>
      <c r="D12" s="74">
        <v>2.0</v>
      </c>
      <c r="E12" s="75">
        <f t="shared" si="1"/>
        <v>454.5454545</v>
      </c>
      <c r="F12" s="75">
        <v>500.0</v>
      </c>
      <c r="G12" s="87" t="s">
        <v>91</v>
      </c>
      <c r="H12" s="77" t="str">
        <f t="shared" si="2"/>
        <v>#REF!</v>
      </c>
      <c r="I12" s="78" t="str">
        <f t="shared" si="3"/>
        <v>#REF!</v>
      </c>
      <c r="J12" s="79" t="str">
        <f t="shared" si="4"/>
        <v>#REF!</v>
      </c>
      <c r="K12" s="21">
        <v>12.5</v>
      </c>
      <c r="L12" s="81" t="s">
        <v>92</v>
      </c>
      <c r="M12" s="88" t="s">
        <v>93</v>
      </c>
      <c r="N12" s="89">
        <v>28600.0</v>
      </c>
      <c r="O12" s="83" t="s">
        <v>94</v>
      </c>
      <c r="P12" s="89" t="s">
        <v>95</v>
      </c>
      <c r="Q12" s="82" t="s">
        <v>96</v>
      </c>
      <c r="R12" s="84" t="s">
        <v>72</v>
      </c>
      <c r="S12" s="85" t="s">
        <v>97</v>
      </c>
      <c r="T12" s="18"/>
      <c r="U12" s="18"/>
      <c r="V12" s="18"/>
      <c r="W12" s="18"/>
      <c r="X12" s="18"/>
      <c r="Y12" s="18"/>
      <c r="Z12" s="18"/>
    </row>
    <row r="13" ht="15.0" customHeight="1">
      <c r="A13" s="21"/>
      <c r="B13" s="72" t="s">
        <v>98</v>
      </c>
      <c r="C13" s="73" t="s">
        <v>99</v>
      </c>
      <c r="D13" s="74">
        <v>2.0</v>
      </c>
      <c r="E13" s="75">
        <f t="shared" si="1"/>
        <v>672.7272727</v>
      </c>
      <c r="F13" s="75">
        <v>740.0</v>
      </c>
      <c r="G13" s="90" t="s">
        <v>100</v>
      </c>
      <c r="H13" s="77" t="str">
        <f t="shared" si="2"/>
        <v>#REF!</v>
      </c>
      <c r="I13" s="78" t="str">
        <f t="shared" si="3"/>
        <v>#REF!</v>
      </c>
      <c r="J13" s="79" t="str">
        <f t="shared" si="4"/>
        <v>#REF!</v>
      </c>
      <c r="K13" s="80">
        <v>20.0</v>
      </c>
      <c r="L13" s="81" t="s">
        <v>92</v>
      </c>
      <c r="M13" s="82" t="s">
        <v>93</v>
      </c>
      <c r="N13" s="82" t="s">
        <v>101</v>
      </c>
      <c r="O13" s="83" t="s">
        <v>70</v>
      </c>
      <c r="P13" s="82" t="s">
        <v>95</v>
      </c>
      <c r="Q13" s="82" t="s">
        <v>102</v>
      </c>
      <c r="R13" s="84" t="s">
        <v>72</v>
      </c>
      <c r="S13" s="85" t="s">
        <v>97</v>
      </c>
      <c r="T13" s="18"/>
      <c r="U13" s="18"/>
      <c r="V13" s="18"/>
      <c r="W13" s="18"/>
      <c r="X13" s="18"/>
      <c r="Y13" s="18"/>
      <c r="Z13" s="18"/>
    </row>
    <row r="14" ht="15.0" customHeight="1">
      <c r="A14" s="21"/>
      <c r="B14" s="91" t="s">
        <v>103</v>
      </c>
      <c r="C14" s="73" t="s">
        <v>104</v>
      </c>
      <c r="D14" s="74">
        <v>2.0</v>
      </c>
      <c r="E14" s="75">
        <f t="shared" si="1"/>
        <v>636.3636364</v>
      </c>
      <c r="F14" s="75">
        <v>700.0</v>
      </c>
      <c r="G14" s="90" t="s">
        <v>100</v>
      </c>
      <c r="H14" s="77" t="str">
        <f t="shared" si="2"/>
        <v>#REF!</v>
      </c>
      <c r="I14" s="78" t="str">
        <f t="shared" si="3"/>
        <v>#REF!</v>
      </c>
      <c r="J14" s="79" t="str">
        <f t="shared" si="4"/>
        <v>#REF!</v>
      </c>
      <c r="K14" s="80">
        <v>20.0</v>
      </c>
      <c r="L14" s="81">
        <v>5800.0</v>
      </c>
      <c r="M14" s="82" t="s">
        <v>93</v>
      </c>
      <c r="N14" s="83"/>
      <c r="O14" s="83" t="s">
        <v>70</v>
      </c>
      <c r="P14" s="83" t="s">
        <v>95</v>
      </c>
      <c r="Q14" s="82" t="s">
        <v>105</v>
      </c>
      <c r="R14" s="84" t="s">
        <v>72</v>
      </c>
      <c r="S14" s="85" t="s">
        <v>106</v>
      </c>
      <c r="T14" s="18"/>
      <c r="U14" s="18"/>
      <c r="V14" s="18"/>
      <c r="W14" s="18"/>
      <c r="X14" s="18"/>
      <c r="Y14" s="18"/>
      <c r="Z14" s="18"/>
    </row>
    <row r="15" ht="15.0" customHeight="1">
      <c r="A15" s="21"/>
      <c r="B15" s="91" t="s">
        <v>107</v>
      </c>
      <c r="C15" s="73" t="s">
        <v>108</v>
      </c>
      <c r="D15" s="74">
        <v>2.0</v>
      </c>
      <c r="E15" s="75">
        <f t="shared" si="1"/>
        <v>672.7272727</v>
      </c>
      <c r="F15" s="75">
        <v>740.0</v>
      </c>
      <c r="G15" s="90" t="s">
        <v>100</v>
      </c>
      <c r="H15" s="77" t="str">
        <f t="shared" si="2"/>
        <v>#REF!</v>
      </c>
      <c r="I15" s="78" t="str">
        <f t="shared" si="3"/>
        <v>#REF!</v>
      </c>
      <c r="J15" s="79" t="str">
        <f t="shared" si="4"/>
        <v>#REF!</v>
      </c>
      <c r="K15" s="80">
        <v>20.0</v>
      </c>
      <c r="L15" s="81">
        <v>2500.0</v>
      </c>
      <c r="M15" s="82" t="s">
        <v>93</v>
      </c>
      <c r="N15" s="92"/>
      <c r="O15" s="83" t="s">
        <v>70</v>
      </c>
      <c r="P15" s="83" t="s">
        <v>95</v>
      </c>
      <c r="Q15" s="82" t="s">
        <v>105</v>
      </c>
      <c r="R15" s="84" t="s">
        <v>72</v>
      </c>
      <c r="S15" s="85" t="s">
        <v>106</v>
      </c>
      <c r="T15" s="18"/>
      <c r="U15" s="18"/>
      <c r="V15" s="18"/>
      <c r="W15" s="18"/>
      <c r="X15" s="18"/>
      <c r="Y15" s="18"/>
      <c r="Z15" s="18"/>
    </row>
    <row r="16" ht="15.0" customHeight="1">
      <c r="A16" s="21"/>
      <c r="B16" s="72" t="s">
        <v>109</v>
      </c>
      <c r="C16" s="73" t="s">
        <v>110</v>
      </c>
      <c r="D16" s="74">
        <v>2.0</v>
      </c>
      <c r="E16" s="75">
        <f t="shared" si="1"/>
        <v>636.3636364</v>
      </c>
      <c r="F16" s="75">
        <v>700.0</v>
      </c>
      <c r="G16" s="90" t="s">
        <v>100</v>
      </c>
      <c r="H16" s="77" t="str">
        <f t="shared" si="2"/>
        <v>#REF!</v>
      </c>
      <c r="I16" s="78" t="str">
        <f t="shared" si="3"/>
        <v>#REF!</v>
      </c>
      <c r="J16" s="79" t="str">
        <f t="shared" si="4"/>
        <v>#REF!</v>
      </c>
      <c r="K16" s="93">
        <v>20.0</v>
      </c>
      <c r="L16" s="94">
        <v>5800.0</v>
      </c>
      <c r="M16" s="95" t="s">
        <v>93</v>
      </c>
      <c r="N16" s="96"/>
      <c r="O16" s="97" t="s">
        <v>70</v>
      </c>
      <c r="P16" s="97" t="s">
        <v>95</v>
      </c>
      <c r="Q16" s="95" t="s">
        <v>105</v>
      </c>
      <c r="R16" s="98" t="s">
        <v>72</v>
      </c>
      <c r="S16" s="99" t="s">
        <v>88</v>
      </c>
      <c r="T16" s="18"/>
      <c r="U16" s="18"/>
      <c r="V16" s="18"/>
      <c r="W16" s="18"/>
      <c r="X16" s="18"/>
      <c r="Y16" s="18"/>
      <c r="Z16" s="18"/>
    </row>
    <row r="17" ht="16.5" customHeight="1">
      <c r="A17" s="100"/>
      <c r="B17" s="101"/>
      <c r="C17" s="102" t="s">
        <v>111</v>
      </c>
      <c r="D17" s="103"/>
      <c r="E17" s="62" t="s">
        <v>53</v>
      </c>
      <c r="F17" s="62" t="s">
        <v>35</v>
      </c>
      <c r="G17" s="104"/>
      <c r="H17" s="105"/>
      <c r="I17" s="106"/>
      <c r="J17" s="106"/>
      <c r="K17" s="107" t="s">
        <v>56</v>
      </c>
      <c r="L17" s="107" t="s">
        <v>57</v>
      </c>
      <c r="M17" s="108" t="s">
        <v>58</v>
      </c>
      <c r="N17" s="108" t="s">
        <v>59</v>
      </c>
      <c r="O17" s="108" t="s">
        <v>60</v>
      </c>
      <c r="P17" s="108" t="s">
        <v>61</v>
      </c>
      <c r="Q17" s="107" t="s">
        <v>62</v>
      </c>
      <c r="R17" s="107" t="s">
        <v>63</v>
      </c>
      <c r="S17" s="109" t="s">
        <v>64</v>
      </c>
      <c r="T17" s="18"/>
      <c r="U17" s="18"/>
      <c r="V17" s="18"/>
      <c r="W17" s="18"/>
      <c r="X17" s="18"/>
      <c r="Y17" s="18"/>
      <c r="Z17" s="18"/>
    </row>
    <row r="18" ht="15.0" customHeight="1">
      <c r="A18" s="21"/>
      <c r="B18" s="72" t="s">
        <v>112</v>
      </c>
      <c r="C18" s="73" t="s">
        <v>113</v>
      </c>
      <c r="D18" s="74">
        <v>1.0</v>
      </c>
      <c r="E18" s="75">
        <f t="shared" ref="E18:E23" si="5">F18 - (F18/11)</f>
        <v>363.6363636</v>
      </c>
      <c r="F18" s="75">
        <v>400.0</v>
      </c>
      <c r="G18" s="87" t="s">
        <v>114</v>
      </c>
      <c r="H18" s="77" t="str">
        <f t="shared" ref="H18:H27" si="6">SUM(#REF!)</f>
        <v>#REF!</v>
      </c>
      <c r="I18" s="78" t="str">
        <f t="shared" ref="I18:I23" si="7">#REF!*H18</f>
        <v>#REF!</v>
      </c>
      <c r="J18" s="79" t="str">
        <f t="shared" ref="J18:J23" si="8">I18*1.65</f>
        <v>#REF!</v>
      </c>
      <c r="K18" s="110">
        <v>30.0</v>
      </c>
      <c r="L18" s="111">
        <v>5800.0</v>
      </c>
      <c r="M18" s="112">
        <v>2650.0</v>
      </c>
      <c r="N18" s="112">
        <v>99600.0</v>
      </c>
      <c r="O18" s="112" t="s">
        <v>70</v>
      </c>
      <c r="P18" s="112"/>
      <c r="Q18" s="113" t="s">
        <v>115</v>
      </c>
      <c r="R18" s="114" t="s">
        <v>72</v>
      </c>
      <c r="S18" s="115" t="s">
        <v>76</v>
      </c>
      <c r="T18" s="18"/>
      <c r="U18" s="18"/>
      <c r="V18" s="18"/>
      <c r="W18" s="18"/>
      <c r="X18" s="18"/>
      <c r="Y18" s="18"/>
      <c r="Z18" s="18"/>
    </row>
    <row r="19" ht="15.0" customHeight="1">
      <c r="A19" s="21"/>
      <c r="B19" s="72" t="s">
        <v>116</v>
      </c>
      <c r="C19" s="73" t="s">
        <v>117</v>
      </c>
      <c r="D19" s="74">
        <v>1.0</v>
      </c>
      <c r="E19" s="75">
        <f t="shared" si="5"/>
        <v>409.0909091</v>
      </c>
      <c r="F19" s="75">
        <v>450.0</v>
      </c>
      <c r="G19" s="87" t="s">
        <v>118</v>
      </c>
      <c r="H19" s="77" t="str">
        <f t="shared" si="6"/>
        <v>#REF!</v>
      </c>
      <c r="I19" s="78" t="str">
        <f t="shared" si="7"/>
        <v>#REF!</v>
      </c>
      <c r="J19" s="79" t="str">
        <f t="shared" si="8"/>
        <v>#REF!</v>
      </c>
      <c r="K19" s="80">
        <v>45.0</v>
      </c>
      <c r="L19" s="81">
        <v>5800.0</v>
      </c>
      <c r="M19" s="83">
        <v>4000.0</v>
      </c>
      <c r="N19" s="83">
        <v>112400.0</v>
      </c>
      <c r="O19" s="83" t="s">
        <v>70</v>
      </c>
      <c r="P19" s="83"/>
      <c r="Q19" s="88" t="s">
        <v>115</v>
      </c>
      <c r="R19" s="84" t="s">
        <v>72</v>
      </c>
      <c r="S19" s="86" t="s">
        <v>119</v>
      </c>
      <c r="T19" s="18"/>
      <c r="U19" s="18"/>
      <c r="V19" s="18"/>
      <c r="W19" s="18"/>
      <c r="X19" s="18"/>
      <c r="Y19" s="18"/>
      <c r="Z19" s="18"/>
    </row>
    <row r="20" ht="15.0" customHeight="1">
      <c r="A20" s="21"/>
      <c r="B20" s="72" t="s">
        <v>120</v>
      </c>
      <c r="C20" s="73" t="s">
        <v>121</v>
      </c>
      <c r="D20" s="74">
        <v>1.0</v>
      </c>
      <c r="E20" s="75">
        <f t="shared" si="5"/>
        <v>568.1818182</v>
      </c>
      <c r="F20" s="75">
        <v>625.0</v>
      </c>
      <c r="G20" s="87" t="s">
        <v>122</v>
      </c>
      <c r="H20" s="77" t="str">
        <f t="shared" si="6"/>
        <v>#REF!</v>
      </c>
      <c r="I20" s="78" t="str">
        <f t="shared" si="7"/>
        <v>#REF!</v>
      </c>
      <c r="J20" s="79" t="str">
        <f t="shared" si="8"/>
        <v>#REF!</v>
      </c>
      <c r="K20" s="80">
        <v>105.0</v>
      </c>
      <c r="L20" s="81">
        <v>5800.0</v>
      </c>
      <c r="M20" s="83">
        <v>9250.0</v>
      </c>
      <c r="N20" s="83">
        <v>233000.0</v>
      </c>
      <c r="O20" s="83" t="s">
        <v>70</v>
      </c>
      <c r="P20" s="83"/>
      <c r="Q20" s="88" t="s">
        <v>115</v>
      </c>
      <c r="R20" s="84" t="s">
        <v>72</v>
      </c>
      <c r="S20" s="86" t="s">
        <v>119</v>
      </c>
      <c r="T20" s="18"/>
      <c r="U20" s="18"/>
      <c r="V20" s="18"/>
      <c r="W20" s="18"/>
      <c r="X20" s="18"/>
      <c r="Y20" s="18"/>
      <c r="Z20" s="18"/>
    </row>
    <row r="21" ht="15.0" customHeight="1">
      <c r="A21" s="21"/>
      <c r="B21" s="72" t="s">
        <v>123</v>
      </c>
      <c r="C21" s="73" t="s">
        <v>124</v>
      </c>
      <c r="D21" s="74">
        <v>1.0</v>
      </c>
      <c r="E21" s="75">
        <f t="shared" si="5"/>
        <v>772.7272727</v>
      </c>
      <c r="F21" s="75">
        <v>850.0</v>
      </c>
      <c r="G21" s="87" t="s">
        <v>125</v>
      </c>
      <c r="H21" s="77" t="str">
        <f t="shared" si="6"/>
        <v>#REF!</v>
      </c>
      <c r="I21" s="78" t="str">
        <f t="shared" si="7"/>
        <v>#REF!</v>
      </c>
      <c r="J21" s="79" t="str">
        <f t="shared" si="8"/>
        <v>#REF!</v>
      </c>
      <c r="K21" s="80">
        <v>165.0</v>
      </c>
      <c r="L21" s="81">
        <v>5800.0</v>
      </c>
      <c r="M21" s="83">
        <v>14550.0</v>
      </c>
      <c r="N21" s="83">
        <v>263000.0</v>
      </c>
      <c r="O21" s="83" t="s">
        <v>70</v>
      </c>
      <c r="P21" s="83"/>
      <c r="Q21" s="88" t="s">
        <v>126</v>
      </c>
      <c r="R21" s="84" t="s">
        <v>72</v>
      </c>
      <c r="S21" s="86" t="s">
        <v>119</v>
      </c>
      <c r="T21" s="18"/>
      <c r="U21" s="18"/>
      <c r="V21" s="18"/>
      <c r="W21" s="18"/>
      <c r="X21" s="18"/>
      <c r="Y21" s="18"/>
      <c r="Z21" s="18"/>
    </row>
    <row r="22" ht="15.0" customHeight="1">
      <c r="A22" s="21"/>
      <c r="B22" s="72" t="s">
        <v>127</v>
      </c>
      <c r="C22" s="73" t="s">
        <v>128</v>
      </c>
      <c r="D22" s="74">
        <v>1.0</v>
      </c>
      <c r="E22" s="75">
        <f t="shared" si="5"/>
        <v>954.5454545</v>
      </c>
      <c r="F22" s="75">
        <v>1050.0</v>
      </c>
      <c r="G22" s="87" t="s">
        <v>129</v>
      </c>
      <c r="H22" s="77" t="str">
        <f t="shared" si="6"/>
        <v>#REF!</v>
      </c>
      <c r="I22" s="78" t="str">
        <f t="shared" si="7"/>
        <v>#REF!</v>
      </c>
      <c r="J22" s="79" t="str">
        <f t="shared" si="8"/>
        <v>#REF!</v>
      </c>
      <c r="K22" s="80">
        <v>210.0</v>
      </c>
      <c r="L22" s="81">
        <v>5800.0</v>
      </c>
      <c r="M22" s="83">
        <v>18500.0</v>
      </c>
      <c r="N22" s="83">
        <v>247000.0</v>
      </c>
      <c r="O22" s="83" t="s">
        <v>70</v>
      </c>
      <c r="P22" s="83"/>
      <c r="Q22" s="88" t="s">
        <v>126</v>
      </c>
      <c r="R22" s="84" t="s">
        <v>72</v>
      </c>
      <c r="S22" s="86" t="s">
        <v>119</v>
      </c>
      <c r="T22" s="18"/>
      <c r="U22" s="18"/>
      <c r="V22" s="18"/>
      <c r="W22" s="18"/>
      <c r="X22" s="18"/>
      <c r="Y22" s="18"/>
      <c r="Z22" s="18"/>
    </row>
    <row r="23" ht="15.0" customHeight="1">
      <c r="A23" s="21"/>
      <c r="B23" s="72" t="s">
        <v>130</v>
      </c>
      <c r="C23" s="73" t="s">
        <v>131</v>
      </c>
      <c r="D23" s="74">
        <v>1.0</v>
      </c>
      <c r="E23" s="75">
        <f t="shared" si="5"/>
        <v>1136.363636</v>
      </c>
      <c r="F23" s="75">
        <v>1250.0</v>
      </c>
      <c r="G23" s="87" t="s">
        <v>132</v>
      </c>
      <c r="H23" s="77" t="str">
        <f t="shared" si="6"/>
        <v>#REF!</v>
      </c>
      <c r="I23" s="78" t="str">
        <f t="shared" si="7"/>
        <v>#REF!</v>
      </c>
      <c r="J23" s="79" t="str">
        <f t="shared" si="8"/>
        <v>#REF!</v>
      </c>
      <c r="K23" s="80">
        <v>250.0</v>
      </c>
      <c r="L23" s="81">
        <v>5800.0</v>
      </c>
      <c r="M23" s="83">
        <v>23850.0</v>
      </c>
      <c r="N23" s="83">
        <v>801000.0</v>
      </c>
      <c r="O23" s="83" t="s">
        <v>70</v>
      </c>
      <c r="P23" s="83"/>
      <c r="Q23" s="88" t="s">
        <v>126</v>
      </c>
      <c r="R23" s="84" t="s">
        <v>72</v>
      </c>
      <c r="S23" s="86" t="s">
        <v>133</v>
      </c>
      <c r="T23" s="18"/>
      <c r="U23" s="18"/>
      <c r="V23" s="18"/>
      <c r="W23" s="18"/>
      <c r="X23" s="18"/>
      <c r="Y23" s="18"/>
      <c r="Z23" s="18"/>
    </row>
    <row r="24" ht="16.5" customHeight="1">
      <c r="A24" s="21"/>
      <c r="B24" s="101"/>
      <c r="C24" s="102" t="s">
        <v>134</v>
      </c>
      <c r="D24" s="103"/>
      <c r="E24" s="62" t="s">
        <v>53</v>
      </c>
      <c r="F24" s="62" t="s">
        <v>35</v>
      </c>
      <c r="G24" s="116"/>
      <c r="H24" s="105" t="str">
        <f t="shared" si="6"/>
        <v>#REF!</v>
      </c>
      <c r="I24" s="106"/>
      <c r="J24" s="117"/>
      <c r="K24" s="107" t="s">
        <v>56</v>
      </c>
      <c r="L24" s="107" t="s">
        <v>57</v>
      </c>
      <c r="M24" s="108" t="s">
        <v>58</v>
      </c>
      <c r="N24" s="108" t="s">
        <v>59</v>
      </c>
      <c r="O24" s="108" t="s">
        <v>60</v>
      </c>
      <c r="P24" s="108" t="s">
        <v>61</v>
      </c>
      <c r="Q24" s="107" t="s">
        <v>62</v>
      </c>
      <c r="R24" s="107" t="s">
        <v>63</v>
      </c>
      <c r="S24" s="109" t="s">
        <v>64</v>
      </c>
      <c r="T24" s="18"/>
      <c r="U24" s="18"/>
      <c r="V24" s="18"/>
      <c r="W24" s="18"/>
      <c r="X24" s="18"/>
      <c r="Y24" s="18"/>
      <c r="Z24" s="18"/>
    </row>
    <row r="25" ht="15.0" customHeight="1">
      <c r="A25" s="21"/>
      <c r="B25" s="72" t="s">
        <v>135</v>
      </c>
      <c r="C25" s="73" t="s">
        <v>136</v>
      </c>
      <c r="D25" s="74">
        <v>2.0</v>
      </c>
      <c r="E25" s="75">
        <f t="shared" ref="E25:E27" si="9">F25 - (F25/11)</f>
        <v>954.5454545</v>
      </c>
      <c r="F25" s="75">
        <v>1050.0</v>
      </c>
      <c r="G25" s="87" t="s">
        <v>137</v>
      </c>
      <c r="H25" s="77" t="str">
        <f t="shared" si="6"/>
        <v>#REF!</v>
      </c>
      <c r="I25" s="78" t="str">
        <f t="shared" ref="I25:I27" si="10">#REF!*H25</f>
        <v>#REF!</v>
      </c>
      <c r="J25" s="79" t="str">
        <f t="shared" ref="J25:J27" si="11">I25*1.65</f>
        <v>#REF!</v>
      </c>
      <c r="K25" s="80">
        <v>42.0</v>
      </c>
      <c r="L25" s="81">
        <v>5500.0</v>
      </c>
      <c r="M25" s="82" t="s">
        <v>138</v>
      </c>
      <c r="N25" s="83">
        <v>135000.0</v>
      </c>
      <c r="O25" s="83" t="s">
        <v>94</v>
      </c>
      <c r="P25" s="83"/>
      <c r="Q25" s="82" t="s">
        <v>139</v>
      </c>
      <c r="R25" s="84" t="s">
        <v>140</v>
      </c>
      <c r="S25" s="85" t="s">
        <v>141</v>
      </c>
      <c r="T25" s="18"/>
      <c r="U25" s="18"/>
      <c r="V25" s="18"/>
      <c r="W25" s="18"/>
      <c r="X25" s="18"/>
      <c r="Y25" s="18"/>
      <c r="Z25" s="18"/>
    </row>
    <row r="26" ht="15.0" customHeight="1">
      <c r="A26" s="21"/>
      <c r="B26" s="72" t="s">
        <v>142</v>
      </c>
      <c r="C26" s="73" t="s">
        <v>143</v>
      </c>
      <c r="D26" s="74">
        <v>2.0</v>
      </c>
      <c r="E26" s="75">
        <f t="shared" si="9"/>
        <v>1000</v>
      </c>
      <c r="F26" s="75">
        <v>1100.0</v>
      </c>
      <c r="G26" s="87" t="s">
        <v>137</v>
      </c>
      <c r="H26" s="77" t="str">
        <f t="shared" si="6"/>
        <v>#REF!</v>
      </c>
      <c r="I26" s="78" t="str">
        <f t="shared" si="10"/>
        <v>#REF!</v>
      </c>
      <c r="J26" s="79" t="str">
        <f t="shared" si="11"/>
        <v>#REF!</v>
      </c>
      <c r="K26" s="80">
        <v>42.0</v>
      </c>
      <c r="L26" s="81">
        <v>2500.0</v>
      </c>
      <c r="M26" s="82" t="s">
        <v>144</v>
      </c>
      <c r="N26" s="118">
        <v>135000.0</v>
      </c>
      <c r="O26" s="118" t="s">
        <v>94</v>
      </c>
      <c r="P26" s="118"/>
      <c r="Q26" s="82" t="s">
        <v>139</v>
      </c>
      <c r="R26" s="84" t="s">
        <v>140</v>
      </c>
      <c r="S26" s="85" t="s">
        <v>141</v>
      </c>
      <c r="T26" s="18"/>
      <c r="U26" s="18"/>
      <c r="V26" s="18"/>
      <c r="W26" s="18"/>
      <c r="X26" s="18"/>
      <c r="Y26" s="18"/>
      <c r="Z26" s="18"/>
    </row>
    <row r="27" ht="15.0" customHeight="1">
      <c r="A27" s="21"/>
      <c r="B27" s="72" t="s">
        <v>145</v>
      </c>
      <c r="C27" s="73" t="s">
        <v>146</v>
      </c>
      <c r="D27" s="74">
        <v>2.0</v>
      </c>
      <c r="E27" s="75">
        <f t="shared" si="9"/>
        <v>1318.181818</v>
      </c>
      <c r="F27" s="75">
        <v>1450.0</v>
      </c>
      <c r="G27" s="87" t="s">
        <v>147</v>
      </c>
      <c r="H27" s="77" t="str">
        <f t="shared" si="6"/>
        <v>#REF!</v>
      </c>
      <c r="I27" s="78" t="str">
        <f t="shared" si="10"/>
        <v>#REF!</v>
      </c>
      <c r="J27" s="79" t="str">
        <f t="shared" si="11"/>
        <v>#REF!</v>
      </c>
      <c r="K27" s="80">
        <v>100.0</v>
      </c>
      <c r="L27" s="81">
        <v>5500.0</v>
      </c>
      <c r="M27" s="119" t="s">
        <v>148</v>
      </c>
      <c r="N27" s="118">
        <v>215000.0</v>
      </c>
      <c r="O27" s="118" t="s">
        <v>94</v>
      </c>
      <c r="P27" s="118"/>
      <c r="Q27" s="82" t="s">
        <v>139</v>
      </c>
      <c r="R27" s="84" t="s">
        <v>140</v>
      </c>
      <c r="S27" s="85" t="s">
        <v>141</v>
      </c>
      <c r="T27" s="18"/>
      <c r="U27" s="18"/>
      <c r="V27" s="18"/>
      <c r="W27" s="18"/>
      <c r="X27" s="18"/>
      <c r="Y27" s="18"/>
      <c r="Z27" s="18"/>
    </row>
    <row r="28" ht="16.5" customHeight="1">
      <c r="A28" s="100"/>
      <c r="B28" s="120"/>
      <c r="C28" s="102" t="s">
        <v>149</v>
      </c>
      <c r="D28" s="103"/>
      <c r="E28" s="62" t="s">
        <v>53</v>
      </c>
      <c r="F28" s="62" t="s">
        <v>35</v>
      </c>
      <c r="G28" s="116"/>
      <c r="H28" s="121"/>
      <c r="I28" s="122"/>
      <c r="J28" s="62"/>
      <c r="K28" s="107" t="s">
        <v>56</v>
      </c>
      <c r="L28" s="107" t="s">
        <v>57</v>
      </c>
      <c r="M28" s="108" t="s">
        <v>58</v>
      </c>
      <c r="N28" s="108" t="s">
        <v>59</v>
      </c>
      <c r="O28" s="108" t="s">
        <v>60</v>
      </c>
      <c r="P28" s="108" t="s">
        <v>61</v>
      </c>
      <c r="Q28" s="107" t="s">
        <v>62</v>
      </c>
      <c r="R28" s="107" t="s">
        <v>63</v>
      </c>
      <c r="S28" s="109" t="s">
        <v>64</v>
      </c>
      <c r="T28" s="18"/>
      <c r="U28" s="18"/>
      <c r="V28" s="18"/>
      <c r="W28" s="18"/>
      <c r="X28" s="18"/>
      <c r="Y28" s="18"/>
      <c r="Z28" s="18"/>
    </row>
    <row r="29" ht="15.0" customHeight="1">
      <c r="A29" s="21"/>
      <c r="B29" s="123" t="s">
        <v>150</v>
      </c>
      <c r="C29" s="123" t="s">
        <v>151</v>
      </c>
      <c r="D29" s="124">
        <v>1.0</v>
      </c>
      <c r="E29" s="125">
        <f t="shared" ref="E29:E32" si="12">F29 - (F29/11)</f>
        <v>636.3636364</v>
      </c>
      <c r="F29" s="125">
        <v>700.0</v>
      </c>
      <c r="G29" s="126" t="s">
        <v>152</v>
      </c>
      <c r="H29" s="77" t="str">
        <f t="shared" ref="H29:H31" si="13">SUM(#REF!)</f>
        <v>#REF!</v>
      </c>
      <c r="I29" s="78" t="str">
        <f t="shared" ref="I29:I31" si="14">#REF!*H29</f>
        <v>#REF!</v>
      </c>
      <c r="J29" s="79" t="str">
        <f t="shared" ref="J29:J31" si="15">I29*1.65</f>
        <v>#REF!</v>
      </c>
      <c r="K29" s="80"/>
      <c r="L29" s="81"/>
      <c r="M29" s="127"/>
      <c r="N29" s="127"/>
      <c r="O29" s="92"/>
      <c r="P29" s="92"/>
      <c r="Q29" s="128" t="s">
        <v>153</v>
      </c>
      <c r="R29" s="129" t="s">
        <v>154</v>
      </c>
      <c r="S29" s="85" t="s">
        <v>155</v>
      </c>
      <c r="T29" s="18"/>
      <c r="U29" s="18"/>
      <c r="V29" s="18"/>
      <c r="W29" s="18"/>
      <c r="X29" s="18"/>
      <c r="Y29" s="18"/>
      <c r="Z29" s="18"/>
    </row>
    <row r="30" ht="15.0" customHeight="1">
      <c r="A30" s="21"/>
      <c r="B30" s="123" t="s">
        <v>156</v>
      </c>
      <c r="C30" s="123" t="s">
        <v>157</v>
      </c>
      <c r="D30" s="124">
        <v>1.0</v>
      </c>
      <c r="E30" s="125">
        <f t="shared" si="12"/>
        <v>636.3636364</v>
      </c>
      <c r="F30" s="125">
        <v>700.0</v>
      </c>
      <c r="G30" s="126" t="s">
        <v>152</v>
      </c>
      <c r="H30" s="77" t="str">
        <f t="shared" si="13"/>
        <v>#REF!</v>
      </c>
      <c r="I30" s="78" t="str">
        <f t="shared" si="14"/>
        <v>#REF!</v>
      </c>
      <c r="J30" s="79" t="str">
        <f t="shared" si="15"/>
        <v>#REF!</v>
      </c>
      <c r="K30" s="80"/>
      <c r="L30" s="81"/>
      <c r="M30" s="127"/>
      <c r="N30" s="127"/>
      <c r="O30" s="92"/>
      <c r="P30" s="92"/>
      <c r="Q30" s="128" t="s">
        <v>153</v>
      </c>
      <c r="R30" s="129" t="s">
        <v>154</v>
      </c>
      <c r="S30" s="85" t="s">
        <v>76</v>
      </c>
      <c r="T30" s="18"/>
      <c r="U30" s="18"/>
      <c r="V30" s="18"/>
      <c r="W30" s="18"/>
      <c r="X30" s="18"/>
      <c r="Y30" s="18"/>
      <c r="Z30" s="18"/>
    </row>
    <row r="31" ht="15.0" customHeight="1">
      <c r="A31" s="21"/>
      <c r="B31" s="130" t="s">
        <v>158</v>
      </c>
      <c r="C31" s="130" t="s">
        <v>159</v>
      </c>
      <c r="D31" s="131">
        <v>1.0</v>
      </c>
      <c r="E31" s="125">
        <f t="shared" si="12"/>
        <v>818.1818182</v>
      </c>
      <c r="F31" s="125">
        <v>900.0</v>
      </c>
      <c r="G31" s="126" t="s">
        <v>160</v>
      </c>
      <c r="H31" s="77" t="str">
        <f t="shared" si="13"/>
        <v>#REF!</v>
      </c>
      <c r="I31" s="78" t="str">
        <f t="shared" si="14"/>
        <v>#REF!</v>
      </c>
      <c r="J31" s="79" t="str">
        <f t="shared" si="15"/>
        <v>#REF!</v>
      </c>
      <c r="K31" s="80">
        <v>30.0</v>
      </c>
      <c r="L31" s="81">
        <v>6000.0</v>
      </c>
      <c r="M31" s="127">
        <v>3000.0</v>
      </c>
      <c r="N31" s="132">
        <v>81600.0</v>
      </c>
      <c r="O31" s="92"/>
      <c r="P31" s="92"/>
      <c r="Q31" s="128" t="s">
        <v>153</v>
      </c>
      <c r="R31" s="129" t="s">
        <v>154</v>
      </c>
      <c r="S31" s="85" t="s">
        <v>161</v>
      </c>
      <c r="T31" s="18"/>
      <c r="U31" s="18"/>
      <c r="V31" s="18"/>
      <c r="W31" s="18"/>
      <c r="X31" s="18"/>
      <c r="Y31" s="18"/>
      <c r="Z31" s="18"/>
    </row>
    <row r="32" ht="15.0" customHeight="1">
      <c r="A32" s="21"/>
      <c r="B32" s="123"/>
      <c r="C32" s="123" t="s">
        <v>162</v>
      </c>
      <c r="D32" s="124">
        <v>1.0</v>
      </c>
      <c r="E32" s="125">
        <f t="shared" si="12"/>
        <v>818.1818182</v>
      </c>
      <c r="F32" s="125">
        <v>900.0</v>
      </c>
      <c r="G32" s="126" t="s">
        <v>163</v>
      </c>
      <c r="H32" s="77"/>
      <c r="I32" s="78"/>
      <c r="J32" s="79"/>
      <c r="K32" s="80"/>
      <c r="L32" s="81"/>
      <c r="M32" s="127"/>
      <c r="N32" s="127"/>
      <c r="O32" s="92"/>
      <c r="P32" s="92"/>
      <c r="Q32" s="128" t="s">
        <v>153</v>
      </c>
      <c r="R32" s="129" t="s">
        <v>154</v>
      </c>
      <c r="S32" s="85" t="s">
        <v>76</v>
      </c>
      <c r="T32" s="18"/>
      <c r="U32" s="18"/>
      <c r="V32" s="18"/>
      <c r="W32" s="18"/>
      <c r="X32" s="18"/>
      <c r="Y32" s="18"/>
      <c r="Z32" s="18"/>
    </row>
    <row r="33" ht="16.5" customHeight="1">
      <c r="A33" s="21"/>
      <c r="B33" s="133"/>
      <c r="C33" s="134" t="s">
        <v>164</v>
      </c>
      <c r="D33" s="135"/>
      <c r="E33" s="62" t="s">
        <v>53</v>
      </c>
      <c r="F33" s="62" t="s">
        <v>35</v>
      </c>
      <c r="G33" s="116"/>
      <c r="H33" s="105"/>
      <c r="I33" s="106"/>
      <c r="J33" s="117"/>
      <c r="K33" s="107" t="s">
        <v>56</v>
      </c>
      <c r="L33" s="107" t="s">
        <v>57</v>
      </c>
      <c r="M33" s="108" t="s">
        <v>58</v>
      </c>
      <c r="N33" s="108" t="s">
        <v>59</v>
      </c>
      <c r="O33" s="108" t="s">
        <v>60</v>
      </c>
      <c r="P33" s="108" t="s">
        <v>61</v>
      </c>
      <c r="Q33" s="107" t="s">
        <v>62</v>
      </c>
      <c r="R33" s="107" t="s">
        <v>63</v>
      </c>
      <c r="S33" s="109" t="s">
        <v>64</v>
      </c>
      <c r="T33" s="18"/>
      <c r="U33" s="18"/>
      <c r="V33" s="18"/>
      <c r="W33" s="18"/>
      <c r="X33" s="18"/>
      <c r="Y33" s="18"/>
      <c r="Z33" s="18"/>
    </row>
    <row r="34" ht="15.0" customHeight="1">
      <c r="A34" s="21"/>
      <c r="B34" s="136" t="s">
        <v>165</v>
      </c>
      <c r="C34" s="136" t="s">
        <v>166</v>
      </c>
      <c r="D34" s="137">
        <v>2.0</v>
      </c>
      <c r="E34" s="75">
        <f t="shared" ref="E34:E43" si="16">F34 - (F34/11)</f>
        <v>200</v>
      </c>
      <c r="F34" s="75">
        <v>220.0</v>
      </c>
      <c r="G34" s="87" t="s">
        <v>167</v>
      </c>
      <c r="H34" s="77" t="str">
        <f t="shared" ref="H34:H43" si="17">SUM(#REF!)</f>
        <v>#REF!</v>
      </c>
      <c r="I34" s="78" t="str">
        <f t="shared" ref="I34:I43" si="18">#REF!*H34</f>
        <v>#REF!</v>
      </c>
      <c r="J34" s="79" t="str">
        <f t="shared" ref="J34:J43" si="19">I34*1.65</f>
        <v>#REF!</v>
      </c>
      <c r="K34" s="138" t="s">
        <v>168</v>
      </c>
      <c r="L34" s="81">
        <v>6600.0</v>
      </c>
      <c r="M34" s="128" t="s">
        <v>169</v>
      </c>
      <c r="N34" s="139"/>
      <c r="O34" s="128" t="s">
        <v>170</v>
      </c>
      <c r="P34" s="139"/>
      <c r="Q34" s="139"/>
      <c r="R34" s="140" t="s">
        <v>171</v>
      </c>
      <c r="S34" s="141"/>
      <c r="T34" s="18"/>
      <c r="U34" s="18"/>
      <c r="V34" s="18"/>
      <c r="W34" s="18"/>
      <c r="X34" s="18"/>
      <c r="Y34" s="18"/>
      <c r="Z34" s="18"/>
    </row>
    <row r="35" ht="15.0" customHeight="1">
      <c r="A35" s="21"/>
      <c r="B35" s="136" t="s">
        <v>172</v>
      </c>
      <c r="C35" s="136" t="s">
        <v>173</v>
      </c>
      <c r="D35" s="137">
        <v>2.0</v>
      </c>
      <c r="E35" s="75">
        <f t="shared" si="16"/>
        <v>181.8181818</v>
      </c>
      <c r="F35" s="75">
        <v>200.0</v>
      </c>
      <c r="G35" s="87" t="s">
        <v>167</v>
      </c>
      <c r="H35" s="77" t="str">
        <f t="shared" si="17"/>
        <v>#REF!</v>
      </c>
      <c r="I35" s="78" t="str">
        <f t="shared" si="18"/>
        <v>#REF!</v>
      </c>
      <c r="J35" s="79" t="str">
        <f t="shared" si="19"/>
        <v>#REF!</v>
      </c>
      <c r="K35" s="138">
        <v>18.0</v>
      </c>
      <c r="L35" s="81">
        <v>6600.0</v>
      </c>
      <c r="M35" s="128">
        <v>4000.0</v>
      </c>
      <c r="N35" s="139"/>
      <c r="O35" s="128" t="s">
        <v>170</v>
      </c>
      <c r="P35" s="139"/>
      <c r="Q35" s="139"/>
      <c r="R35" s="140" t="s">
        <v>171</v>
      </c>
      <c r="S35" s="141"/>
      <c r="T35" s="18"/>
      <c r="U35" s="18"/>
      <c r="V35" s="18"/>
      <c r="W35" s="18"/>
      <c r="X35" s="18"/>
      <c r="Y35" s="18"/>
      <c r="Z35" s="18"/>
    </row>
    <row r="36" ht="15.0" customHeight="1">
      <c r="A36" s="21"/>
      <c r="B36" s="136" t="s">
        <v>174</v>
      </c>
      <c r="C36" s="136" t="s">
        <v>175</v>
      </c>
      <c r="D36" s="137">
        <v>2.0</v>
      </c>
      <c r="E36" s="75">
        <f t="shared" si="16"/>
        <v>181.8181818</v>
      </c>
      <c r="F36" s="75">
        <v>200.0</v>
      </c>
      <c r="G36" s="87" t="s">
        <v>167</v>
      </c>
      <c r="H36" s="77" t="str">
        <f t="shared" si="17"/>
        <v>#REF!</v>
      </c>
      <c r="I36" s="78" t="str">
        <f t="shared" si="18"/>
        <v>#REF!</v>
      </c>
      <c r="J36" s="79" t="str">
        <f t="shared" si="19"/>
        <v>#REF!</v>
      </c>
      <c r="K36" s="138">
        <v>18.0</v>
      </c>
      <c r="L36" s="81">
        <v>6600.0</v>
      </c>
      <c r="M36" s="128">
        <v>4000.0</v>
      </c>
      <c r="N36" s="139"/>
      <c r="O36" s="128" t="s">
        <v>170</v>
      </c>
      <c r="P36" s="139"/>
      <c r="Q36" s="139"/>
      <c r="R36" s="140" t="s">
        <v>171</v>
      </c>
      <c r="S36" s="141"/>
      <c r="T36" s="18"/>
      <c r="U36" s="18"/>
      <c r="V36" s="18"/>
      <c r="W36" s="18"/>
      <c r="X36" s="18"/>
      <c r="Y36" s="18"/>
      <c r="Z36" s="18"/>
    </row>
    <row r="37" ht="15.0" customHeight="1">
      <c r="A37" s="21"/>
      <c r="B37" s="136" t="s">
        <v>176</v>
      </c>
      <c r="C37" s="136" t="s">
        <v>177</v>
      </c>
      <c r="D37" s="137">
        <v>2.0</v>
      </c>
      <c r="E37" s="75">
        <f t="shared" si="16"/>
        <v>254.5454545</v>
      </c>
      <c r="F37" s="75">
        <v>280.0</v>
      </c>
      <c r="G37" s="87" t="s">
        <v>167</v>
      </c>
      <c r="H37" s="77" t="str">
        <f t="shared" si="17"/>
        <v>#REF!</v>
      </c>
      <c r="I37" s="78" t="str">
        <f t="shared" si="18"/>
        <v>#REF!</v>
      </c>
      <c r="J37" s="79" t="str">
        <f t="shared" si="19"/>
        <v>#REF!</v>
      </c>
      <c r="K37" s="138" t="s">
        <v>168</v>
      </c>
      <c r="L37" s="81">
        <v>2500.0</v>
      </c>
      <c r="M37" s="128"/>
      <c r="N37" s="139"/>
      <c r="O37" s="128" t="s">
        <v>170</v>
      </c>
      <c r="P37" s="139"/>
      <c r="Q37" s="139"/>
      <c r="R37" s="140" t="s">
        <v>171</v>
      </c>
      <c r="S37" s="141" t="s">
        <v>178</v>
      </c>
      <c r="T37" s="18"/>
      <c r="U37" s="18"/>
      <c r="V37" s="18"/>
      <c r="W37" s="18"/>
      <c r="X37" s="18"/>
      <c r="Y37" s="18"/>
      <c r="Z37" s="18"/>
    </row>
    <row r="38" ht="15.0" customHeight="1">
      <c r="A38" s="21"/>
      <c r="B38" s="136" t="s">
        <v>179</v>
      </c>
      <c r="C38" s="136" t="s">
        <v>180</v>
      </c>
      <c r="D38" s="137">
        <v>2.0</v>
      </c>
      <c r="E38" s="75">
        <f t="shared" si="16"/>
        <v>200</v>
      </c>
      <c r="F38" s="75">
        <v>220.0</v>
      </c>
      <c r="G38" s="87" t="s">
        <v>167</v>
      </c>
      <c r="H38" s="77" t="str">
        <f t="shared" si="17"/>
        <v>#REF!</v>
      </c>
      <c r="I38" s="78" t="str">
        <f t="shared" si="18"/>
        <v>#REF!</v>
      </c>
      <c r="J38" s="79" t="str">
        <f t="shared" si="19"/>
        <v>#REF!</v>
      </c>
      <c r="K38" s="138">
        <v>18.0</v>
      </c>
      <c r="L38" s="81">
        <v>2500.0</v>
      </c>
      <c r="M38" s="128"/>
      <c r="N38" s="139"/>
      <c r="O38" s="128" t="s">
        <v>170</v>
      </c>
      <c r="P38" s="139"/>
      <c r="Q38" s="139"/>
      <c r="R38" s="140" t="s">
        <v>171</v>
      </c>
      <c r="S38" s="141" t="s">
        <v>178</v>
      </c>
      <c r="T38" s="18"/>
      <c r="U38" s="18"/>
      <c r="V38" s="18"/>
      <c r="W38" s="18"/>
      <c r="X38" s="18"/>
      <c r="Y38" s="18"/>
      <c r="Z38" s="18"/>
    </row>
    <row r="39" ht="15.0" customHeight="1">
      <c r="A39" s="21"/>
      <c r="B39" s="136" t="s">
        <v>181</v>
      </c>
      <c r="C39" s="136" t="s">
        <v>182</v>
      </c>
      <c r="D39" s="137">
        <v>2.0</v>
      </c>
      <c r="E39" s="75">
        <f t="shared" si="16"/>
        <v>200</v>
      </c>
      <c r="F39" s="75">
        <v>220.0</v>
      </c>
      <c r="G39" s="87" t="s">
        <v>167</v>
      </c>
      <c r="H39" s="77" t="str">
        <f t="shared" si="17"/>
        <v>#REF!</v>
      </c>
      <c r="I39" s="78" t="str">
        <f t="shared" si="18"/>
        <v>#REF!</v>
      </c>
      <c r="J39" s="79" t="str">
        <f t="shared" si="19"/>
        <v>#REF!</v>
      </c>
      <c r="K39" s="138">
        <v>18.0</v>
      </c>
      <c r="L39" s="81">
        <v>2500.0</v>
      </c>
      <c r="M39" s="128"/>
      <c r="N39" s="139"/>
      <c r="O39" s="128" t="s">
        <v>170</v>
      </c>
      <c r="P39" s="139"/>
      <c r="Q39" s="139"/>
      <c r="R39" s="140" t="s">
        <v>171</v>
      </c>
      <c r="S39" s="141" t="s">
        <v>178</v>
      </c>
      <c r="T39" s="18"/>
      <c r="U39" s="18"/>
      <c r="V39" s="18"/>
      <c r="W39" s="18"/>
      <c r="X39" s="18"/>
      <c r="Y39" s="18"/>
      <c r="Z39" s="18"/>
    </row>
    <row r="40" ht="15.0" customHeight="1">
      <c r="A40" s="21"/>
      <c r="B40" s="136" t="s">
        <v>183</v>
      </c>
      <c r="C40" s="136" t="s">
        <v>184</v>
      </c>
      <c r="D40" s="137">
        <v>2.0</v>
      </c>
      <c r="E40" s="75">
        <f t="shared" si="16"/>
        <v>168.1818182</v>
      </c>
      <c r="F40" s="75">
        <v>185.0</v>
      </c>
      <c r="G40" s="87" t="s">
        <v>167</v>
      </c>
      <c r="H40" s="77" t="str">
        <f t="shared" si="17"/>
        <v>#REF!</v>
      </c>
      <c r="I40" s="78" t="str">
        <f t="shared" si="18"/>
        <v>#REF!</v>
      </c>
      <c r="J40" s="79" t="str">
        <f t="shared" si="19"/>
        <v>#REF!</v>
      </c>
      <c r="K40" s="138">
        <v>10.0</v>
      </c>
      <c r="L40" s="81">
        <v>6600.0</v>
      </c>
      <c r="M40" s="128">
        <v>2000.0</v>
      </c>
      <c r="N40" s="139"/>
      <c r="O40" s="128" t="s">
        <v>170</v>
      </c>
      <c r="P40" s="139"/>
      <c r="Q40" s="139"/>
      <c r="R40" s="140" t="s">
        <v>171</v>
      </c>
      <c r="S40" s="141"/>
      <c r="T40" s="18"/>
      <c r="U40" s="18"/>
      <c r="V40" s="18"/>
      <c r="W40" s="18"/>
      <c r="X40" s="18"/>
      <c r="Y40" s="18"/>
      <c r="Z40" s="18"/>
    </row>
    <row r="41" ht="15.0" customHeight="1">
      <c r="A41" s="21"/>
      <c r="B41" s="136" t="s">
        <v>185</v>
      </c>
      <c r="C41" s="136" t="s">
        <v>186</v>
      </c>
      <c r="D41" s="137">
        <v>2.0</v>
      </c>
      <c r="E41" s="75">
        <f t="shared" si="16"/>
        <v>163.6363636</v>
      </c>
      <c r="F41" s="75">
        <v>180.0</v>
      </c>
      <c r="G41" s="87" t="s">
        <v>167</v>
      </c>
      <c r="H41" s="77" t="str">
        <f t="shared" si="17"/>
        <v>#REF!</v>
      </c>
      <c r="I41" s="78" t="str">
        <f t="shared" si="18"/>
        <v>#REF!</v>
      </c>
      <c r="J41" s="79" t="str">
        <f t="shared" si="19"/>
        <v>#REF!</v>
      </c>
      <c r="K41" s="138">
        <v>10.0</v>
      </c>
      <c r="L41" s="81">
        <v>6600.0</v>
      </c>
      <c r="M41" s="128">
        <v>2000.0</v>
      </c>
      <c r="N41" s="139"/>
      <c r="O41" s="128" t="s">
        <v>170</v>
      </c>
      <c r="P41" s="139"/>
      <c r="Q41" s="139"/>
      <c r="R41" s="140" t="s">
        <v>171</v>
      </c>
      <c r="S41" s="141"/>
      <c r="T41" s="18"/>
      <c r="U41" s="18"/>
      <c r="V41" s="18"/>
      <c r="W41" s="18"/>
      <c r="X41" s="18"/>
      <c r="Y41" s="18"/>
      <c r="Z41" s="18"/>
    </row>
    <row r="42" ht="15.0" customHeight="1">
      <c r="A42" s="21"/>
      <c r="B42" s="136" t="s">
        <v>187</v>
      </c>
      <c r="C42" s="136" t="s">
        <v>188</v>
      </c>
      <c r="D42" s="137">
        <v>2.0</v>
      </c>
      <c r="E42" s="75">
        <f t="shared" si="16"/>
        <v>181.8181818</v>
      </c>
      <c r="F42" s="75">
        <v>200.0</v>
      </c>
      <c r="G42" s="87" t="s">
        <v>167</v>
      </c>
      <c r="H42" s="77" t="str">
        <f t="shared" si="17"/>
        <v>#REF!</v>
      </c>
      <c r="I42" s="78" t="str">
        <f t="shared" si="18"/>
        <v>#REF!</v>
      </c>
      <c r="J42" s="79" t="str">
        <f t="shared" si="19"/>
        <v>#REF!</v>
      </c>
      <c r="K42" s="138">
        <v>14.0</v>
      </c>
      <c r="L42" s="81">
        <v>6600.0</v>
      </c>
      <c r="M42" s="128">
        <v>2600.0</v>
      </c>
      <c r="N42" s="139"/>
      <c r="O42" s="128" t="s">
        <v>170</v>
      </c>
      <c r="P42" s="139"/>
      <c r="Q42" s="139"/>
      <c r="R42" s="140" t="s">
        <v>171</v>
      </c>
      <c r="S42" s="141"/>
      <c r="T42" s="18"/>
      <c r="U42" s="18"/>
      <c r="V42" s="18"/>
      <c r="W42" s="18"/>
      <c r="X42" s="18"/>
      <c r="Y42" s="18"/>
      <c r="Z42" s="18"/>
    </row>
    <row r="43" ht="15.0" customHeight="1">
      <c r="A43" s="21"/>
      <c r="B43" s="136" t="s">
        <v>189</v>
      </c>
      <c r="C43" s="136" t="s">
        <v>190</v>
      </c>
      <c r="D43" s="137">
        <v>2.0</v>
      </c>
      <c r="E43" s="75">
        <f t="shared" si="16"/>
        <v>227.2727273</v>
      </c>
      <c r="F43" s="75">
        <v>250.0</v>
      </c>
      <c r="G43" s="87" t="s">
        <v>167</v>
      </c>
      <c r="H43" s="77" t="str">
        <f t="shared" si="17"/>
        <v>#REF!</v>
      </c>
      <c r="I43" s="78" t="str">
        <f t="shared" si="18"/>
        <v>#REF!</v>
      </c>
      <c r="J43" s="79" t="str">
        <f t="shared" si="19"/>
        <v>#REF!</v>
      </c>
      <c r="K43" s="138" t="s">
        <v>191</v>
      </c>
      <c r="L43" s="81">
        <v>6600.0</v>
      </c>
      <c r="M43" s="128" t="s">
        <v>192</v>
      </c>
      <c r="N43" s="139"/>
      <c r="O43" s="128" t="s">
        <v>170</v>
      </c>
      <c r="P43" s="139"/>
      <c r="Q43" s="139"/>
      <c r="R43" s="140" t="s">
        <v>171</v>
      </c>
      <c r="S43" s="141"/>
      <c r="T43" s="18"/>
      <c r="U43" s="18"/>
      <c r="V43" s="18"/>
      <c r="W43" s="18"/>
      <c r="X43" s="18"/>
      <c r="Y43" s="18"/>
      <c r="Z43" s="18"/>
    </row>
    <row r="44" ht="48.75" customHeight="1">
      <c r="A44" s="21"/>
      <c r="B44" s="136"/>
      <c r="C44" s="136"/>
      <c r="D44" s="137"/>
      <c r="E44" s="75"/>
      <c r="F44" s="75"/>
      <c r="G44" s="87"/>
      <c r="H44" s="77"/>
      <c r="I44" s="78"/>
      <c r="J44" s="79"/>
      <c r="K44" s="142"/>
      <c r="L44" s="81"/>
      <c r="M44" s="128"/>
      <c r="N44" s="139"/>
      <c r="O44" s="128"/>
      <c r="P44" s="139"/>
      <c r="Q44" s="139"/>
      <c r="R44" s="140"/>
      <c r="S44" s="141"/>
      <c r="T44" s="18"/>
      <c r="U44" s="18"/>
      <c r="V44" s="18"/>
      <c r="W44" s="18"/>
      <c r="X44" s="18"/>
      <c r="Y44" s="18"/>
      <c r="Z44" s="18"/>
    </row>
    <row r="45" ht="16.5" customHeight="1">
      <c r="A45" s="21"/>
      <c r="B45" s="143"/>
      <c r="C45" s="144" t="s">
        <v>193</v>
      </c>
      <c r="D45" s="145"/>
      <c r="E45" s="62" t="s">
        <v>53</v>
      </c>
      <c r="F45" s="62" t="s">
        <v>35</v>
      </c>
      <c r="G45" s="146"/>
      <c r="H45" s="147" t="str">
        <f t="shared" ref="H45:H47" si="20">SUM(#REF!)</f>
        <v>#REF!</v>
      </c>
      <c r="I45" s="148"/>
      <c r="J45" s="149"/>
      <c r="K45" s="107" t="s">
        <v>56</v>
      </c>
      <c r="L45" s="107" t="s">
        <v>57</v>
      </c>
      <c r="M45" s="108" t="s">
        <v>58</v>
      </c>
      <c r="N45" s="108" t="s">
        <v>59</v>
      </c>
      <c r="O45" s="108" t="s">
        <v>60</v>
      </c>
      <c r="P45" s="108" t="s">
        <v>61</v>
      </c>
      <c r="Q45" s="107" t="s">
        <v>62</v>
      </c>
      <c r="R45" s="107" t="s">
        <v>63</v>
      </c>
      <c r="S45" s="109" t="s">
        <v>64</v>
      </c>
      <c r="T45" s="18"/>
      <c r="U45" s="18"/>
      <c r="V45" s="18"/>
      <c r="W45" s="18"/>
      <c r="X45" s="18"/>
      <c r="Y45" s="18"/>
      <c r="Z45" s="18"/>
    </row>
    <row r="46" ht="15.0" customHeight="1">
      <c r="A46" s="21"/>
      <c r="B46" s="150" t="s">
        <v>194</v>
      </c>
      <c r="C46" s="151" t="s">
        <v>195</v>
      </c>
      <c r="D46" s="152">
        <v>2.0</v>
      </c>
      <c r="E46" s="75">
        <f t="shared" ref="E46:E47" si="21">F46 - (F46/11)</f>
        <v>90.90909091</v>
      </c>
      <c r="F46" s="75">
        <v>100.0</v>
      </c>
      <c r="G46" s="153"/>
      <c r="H46" s="77" t="str">
        <f t="shared" si="20"/>
        <v>#REF!</v>
      </c>
      <c r="I46" s="78" t="str">
        <f t="shared" ref="I46:I47" si="22">#REF!*H46</f>
        <v>#REF!</v>
      </c>
      <c r="J46" s="79" t="str">
        <f t="shared" ref="J46:J47" si="23">I46*1.65</f>
        <v>#REF!</v>
      </c>
      <c r="K46" s="80"/>
      <c r="L46" s="81"/>
      <c r="M46" s="139"/>
      <c r="N46" s="139"/>
      <c r="O46" s="139"/>
      <c r="P46" s="139"/>
      <c r="Q46" s="139"/>
      <c r="R46" s="154"/>
      <c r="S46" s="155"/>
      <c r="T46" s="18"/>
      <c r="U46" s="18"/>
      <c r="V46" s="18"/>
      <c r="W46" s="18"/>
      <c r="X46" s="18"/>
      <c r="Y46" s="18"/>
      <c r="Z46" s="18"/>
    </row>
    <row r="47" ht="15.0" customHeight="1">
      <c r="A47" s="21"/>
      <c r="B47" s="150" t="s">
        <v>196</v>
      </c>
      <c r="C47" s="151" t="s">
        <v>197</v>
      </c>
      <c r="D47" s="152">
        <v>2.0</v>
      </c>
      <c r="E47" s="75">
        <f t="shared" si="21"/>
        <v>90.90909091</v>
      </c>
      <c r="F47" s="75">
        <v>100.0</v>
      </c>
      <c r="G47" s="153" t="s">
        <v>198</v>
      </c>
      <c r="H47" s="77" t="str">
        <f t="shared" si="20"/>
        <v>#REF!</v>
      </c>
      <c r="I47" s="79" t="str">
        <f t="shared" si="22"/>
        <v>#REF!</v>
      </c>
      <c r="J47" s="79" t="str">
        <f t="shared" si="23"/>
        <v>#REF!</v>
      </c>
      <c r="K47" s="80"/>
      <c r="L47" s="81"/>
      <c r="M47" s="139"/>
      <c r="N47" s="139"/>
      <c r="O47" s="139"/>
      <c r="P47" s="139"/>
      <c r="Q47" s="139"/>
      <c r="R47" s="154"/>
      <c r="S47" s="155"/>
      <c r="T47" s="18"/>
      <c r="U47" s="18"/>
      <c r="V47" s="18"/>
      <c r="W47" s="18"/>
      <c r="X47" s="18"/>
      <c r="Y47" s="18"/>
      <c r="Z47" s="18"/>
    </row>
    <row r="48" ht="16.5" customHeight="1">
      <c r="A48" s="21"/>
      <c r="B48" s="101"/>
      <c r="C48" s="102" t="s">
        <v>199</v>
      </c>
      <c r="D48" s="103"/>
      <c r="E48" s="62" t="s">
        <v>53</v>
      </c>
      <c r="F48" s="62" t="s">
        <v>35</v>
      </c>
      <c r="G48" s="156"/>
      <c r="H48" s="105"/>
      <c r="I48" s="106"/>
      <c r="J48" s="117"/>
      <c r="K48" s="157"/>
      <c r="L48" s="158"/>
      <c r="M48" s="159"/>
      <c r="N48" s="159"/>
      <c r="O48" s="159"/>
      <c r="P48" s="159"/>
      <c r="Q48" s="158"/>
      <c r="R48" s="158"/>
      <c r="S48" s="160"/>
      <c r="T48" s="18"/>
      <c r="U48" s="18"/>
      <c r="V48" s="18"/>
      <c r="W48" s="18"/>
      <c r="X48" s="18"/>
      <c r="Y48" s="18"/>
      <c r="Z48" s="18"/>
    </row>
    <row r="49" ht="15.0" customHeight="1">
      <c r="A49" s="21"/>
      <c r="B49" s="161" t="s">
        <v>200</v>
      </c>
      <c r="C49" s="162" t="s">
        <v>201</v>
      </c>
      <c r="D49" s="163">
        <v>1.0</v>
      </c>
      <c r="E49" s="75">
        <f t="shared" ref="E49:E60" si="24">F49 - (F49/11)</f>
        <v>38.63636364</v>
      </c>
      <c r="F49" s="75">
        <v>42.5</v>
      </c>
      <c r="G49" s="164"/>
      <c r="H49" s="77" t="str">
        <f t="shared" ref="H49:H60" si="25">SUM(#REF!)</f>
        <v>#REF!</v>
      </c>
      <c r="I49" s="78">
        <v>134.0</v>
      </c>
      <c r="J49" s="79">
        <f t="shared" ref="J49:J60" si="26">I49*1.65</f>
        <v>221.1</v>
      </c>
      <c r="K49" s="80"/>
      <c r="L49" s="81"/>
      <c r="M49" s="139"/>
      <c r="N49" s="139"/>
      <c r="O49" s="139"/>
      <c r="P49" s="139"/>
      <c r="Q49" s="139"/>
      <c r="R49" s="154"/>
      <c r="S49" s="155"/>
      <c r="T49" s="18"/>
      <c r="U49" s="18"/>
      <c r="V49" s="18"/>
      <c r="W49" s="18"/>
      <c r="X49" s="18"/>
      <c r="Y49" s="18"/>
      <c r="Z49" s="18"/>
    </row>
    <row r="50" ht="15.0" customHeight="1">
      <c r="A50" s="21"/>
      <c r="B50" s="161" t="s">
        <v>202</v>
      </c>
      <c r="C50" s="162" t="s">
        <v>203</v>
      </c>
      <c r="D50" s="163">
        <v>1.0</v>
      </c>
      <c r="E50" s="75">
        <f t="shared" si="24"/>
        <v>38.63636364</v>
      </c>
      <c r="F50" s="75">
        <v>42.5</v>
      </c>
      <c r="G50" s="87"/>
      <c r="H50" s="77" t="str">
        <f t="shared" si="25"/>
        <v>#REF!</v>
      </c>
      <c r="I50" s="78" t="str">
        <f t="shared" ref="I50:I60" si="27">#REF!*H50</f>
        <v>#REF!</v>
      </c>
      <c r="J50" s="79" t="str">
        <f t="shared" si="26"/>
        <v>#REF!</v>
      </c>
      <c r="K50" s="80"/>
      <c r="L50" s="81"/>
      <c r="M50" s="139"/>
      <c r="N50" s="139"/>
      <c r="O50" s="139"/>
      <c r="P50" s="139"/>
      <c r="Q50" s="139"/>
      <c r="R50" s="154"/>
      <c r="S50" s="155"/>
      <c r="T50" s="18"/>
      <c r="U50" s="18"/>
      <c r="V50" s="18"/>
      <c r="W50" s="18"/>
      <c r="X50" s="18"/>
      <c r="Y50" s="18"/>
      <c r="Z50" s="18"/>
    </row>
    <row r="51" ht="15.0" customHeight="1">
      <c r="A51" s="21"/>
      <c r="B51" s="161" t="s">
        <v>204</v>
      </c>
      <c r="C51" s="162" t="s">
        <v>205</v>
      </c>
      <c r="D51" s="163">
        <v>1.0</v>
      </c>
      <c r="E51" s="75">
        <f t="shared" si="24"/>
        <v>43.18181818</v>
      </c>
      <c r="F51" s="75">
        <v>47.5</v>
      </c>
      <c r="G51" s="87"/>
      <c r="H51" s="77" t="str">
        <f t="shared" si="25"/>
        <v>#REF!</v>
      </c>
      <c r="I51" s="78" t="str">
        <f t="shared" si="27"/>
        <v>#REF!</v>
      </c>
      <c r="J51" s="79" t="str">
        <f t="shared" si="26"/>
        <v>#REF!</v>
      </c>
      <c r="K51" s="80"/>
      <c r="L51" s="81"/>
      <c r="M51" s="139"/>
      <c r="N51" s="139"/>
      <c r="O51" s="139"/>
      <c r="P51" s="139"/>
      <c r="Q51" s="139"/>
      <c r="R51" s="154"/>
      <c r="S51" s="155"/>
      <c r="T51" s="18"/>
      <c r="U51" s="18"/>
      <c r="V51" s="18"/>
      <c r="W51" s="18"/>
      <c r="X51" s="18"/>
      <c r="Y51" s="18"/>
      <c r="Z51" s="18"/>
    </row>
    <row r="52" ht="15.0" customHeight="1">
      <c r="A52" s="21"/>
      <c r="B52" s="161" t="s">
        <v>206</v>
      </c>
      <c r="C52" s="162" t="s">
        <v>207</v>
      </c>
      <c r="D52" s="163">
        <v>1.0</v>
      </c>
      <c r="E52" s="75">
        <f t="shared" si="24"/>
        <v>43.18181818</v>
      </c>
      <c r="F52" s="75">
        <v>47.5</v>
      </c>
      <c r="G52" s="165"/>
      <c r="H52" s="77" t="str">
        <f t="shared" si="25"/>
        <v>#REF!</v>
      </c>
      <c r="I52" s="78" t="str">
        <f t="shared" si="27"/>
        <v>#REF!</v>
      </c>
      <c r="J52" s="79" t="str">
        <f t="shared" si="26"/>
        <v>#REF!</v>
      </c>
      <c r="K52" s="80"/>
      <c r="L52" s="81"/>
      <c r="M52" s="139"/>
      <c r="N52" s="139"/>
      <c r="O52" s="139"/>
      <c r="P52" s="139"/>
      <c r="Q52" s="139"/>
      <c r="R52" s="154"/>
      <c r="S52" s="155"/>
      <c r="T52" s="18"/>
      <c r="U52" s="18"/>
      <c r="V52" s="18"/>
      <c r="W52" s="18"/>
      <c r="X52" s="18"/>
      <c r="Y52" s="18"/>
      <c r="Z52" s="18"/>
    </row>
    <row r="53" ht="15.0" customHeight="1">
      <c r="A53" s="21"/>
      <c r="B53" s="161" t="s">
        <v>208</v>
      </c>
      <c r="C53" s="162" t="s">
        <v>209</v>
      </c>
      <c r="D53" s="163">
        <v>1.0</v>
      </c>
      <c r="E53" s="75">
        <f t="shared" si="24"/>
        <v>43.18181818</v>
      </c>
      <c r="F53" s="75">
        <v>47.5</v>
      </c>
      <c r="G53" s="87"/>
      <c r="H53" s="77" t="str">
        <f t="shared" si="25"/>
        <v>#REF!</v>
      </c>
      <c r="I53" s="78" t="str">
        <f t="shared" si="27"/>
        <v>#REF!</v>
      </c>
      <c r="J53" s="79" t="str">
        <f t="shared" si="26"/>
        <v>#REF!</v>
      </c>
      <c r="K53" s="80"/>
      <c r="L53" s="81"/>
      <c r="M53" s="139"/>
      <c r="N53" s="139"/>
      <c r="O53" s="139"/>
      <c r="P53" s="139"/>
      <c r="Q53" s="139"/>
      <c r="R53" s="154"/>
      <c r="S53" s="155"/>
      <c r="T53" s="18"/>
      <c r="U53" s="18"/>
      <c r="V53" s="18"/>
      <c r="W53" s="18"/>
      <c r="X53" s="18"/>
      <c r="Y53" s="18"/>
      <c r="Z53" s="18"/>
    </row>
    <row r="54" ht="15.0" customHeight="1">
      <c r="A54" s="21"/>
      <c r="B54" s="161" t="s">
        <v>210</v>
      </c>
      <c r="C54" s="162" t="s">
        <v>211</v>
      </c>
      <c r="D54" s="163">
        <v>1.0</v>
      </c>
      <c r="E54" s="75">
        <f t="shared" si="24"/>
        <v>43.18181818</v>
      </c>
      <c r="F54" s="75">
        <v>47.5</v>
      </c>
      <c r="G54" s="87"/>
      <c r="H54" s="77" t="str">
        <f t="shared" si="25"/>
        <v>#REF!</v>
      </c>
      <c r="I54" s="78" t="str">
        <f t="shared" si="27"/>
        <v>#REF!</v>
      </c>
      <c r="J54" s="79" t="str">
        <f t="shared" si="26"/>
        <v>#REF!</v>
      </c>
      <c r="K54" s="80"/>
      <c r="L54" s="81"/>
      <c r="M54" s="139"/>
      <c r="N54" s="139"/>
      <c r="O54" s="139"/>
      <c r="P54" s="139"/>
      <c r="Q54" s="139"/>
      <c r="R54" s="154"/>
      <c r="S54" s="155"/>
      <c r="T54" s="18"/>
      <c r="U54" s="18"/>
      <c r="V54" s="18"/>
      <c r="W54" s="18"/>
      <c r="X54" s="18"/>
      <c r="Y54" s="18"/>
      <c r="Z54" s="18"/>
    </row>
    <row r="55" ht="15.0" customHeight="1">
      <c r="A55" s="21"/>
      <c r="B55" s="161" t="s">
        <v>212</v>
      </c>
      <c r="C55" s="162" t="s">
        <v>213</v>
      </c>
      <c r="D55" s="163">
        <v>1.0</v>
      </c>
      <c r="E55" s="75">
        <f t="shared" si="24"/>
        <v>47.72727273</v>
      </c>
      <c r="F55" s="75">
        <v>52.5</v>
      </c>
      <c r="G55" s="87"/>
      <c r="H55" s="77" t="str">
        <f t="shared" si="25"/>
        <v>#REF!</v>
      </c>
      <c r="I55" s="78" t="str">
        <f t="shared" si="27"/>
        <v>#REF!</v>
      </c>
      <c r="J55" s="79" t="str">
        <f t="shared" si="26"/>
        <v>#REF!</v>
      </c>
      <c r="K55" s="80"/>
      <c r="L55" s="81"/>
      <c r="M55" s="139"/>
      <c r="N55" s="139"/>
      <c r="O55" s="139"/>
      <c r="P55" s="139"/>
      <c r="Q55" s="139"/>
      <c r="R55" s="154"/>
      <c r="S55" s="155"/>
      <c r="T55" s="18"/>
      <c r="U55" s="18"/>
      <c r="V55" s="18"/>
      <c r="W55" s="18"/>
      <c r="X55" s="18"/>
      <c r="Y55" s="18"/>
      <c r="Z55" s="18"/>
    </row>
    <row r="56" ht="15.0" customHeight="1">
      <c r="A56" s="21"/>
      <c r="B56" s="161" t="s">
        <v>214</v>
      </c>
      <c r="C56" s="162" t="s">
        <v>215</v>
      </c>
      <c r="D56" s="163">
        <v>1.0</v>
      </c>
      <c r="E56" s="75">
        <f t="shared" si="24"/>
        <v>47.72727273</v>
      </c>
      <c r="F56" s="75">
        <v>52.5</v>
      </c>
      <c r="G56" s="87"/>
      <c r="H56" s="77" t="str">
        <f t="shared" si="25"/>
        <v>#REF!</v>
      </c>
      <c r="I56" s="78" t="str">
        <f t="shared" si="27"/>
        <v>#REF!</v>
      </c>
      <c r="J56" s="79" t="str">
        <f t="shared" si="26"/>
        <v>#REF!</v>
      </c>
      <c r="K56" s="80"/>
      <c r="L56" s="81"/>
      <c r="M56" s="139"/>
      <c r="N56" s="139"/>
      <c r="O56" s="139"/>
      <c r="P56" s="139"/>
      <c r="Q56" s="139"/>
      <c r="R56" s="154"/>
      <c r="S56" s="155"/>
      <c r="T56" s="18"/>
      <c r="U56" s="18"/>
      <c r="V56" s="18"/>
      <c r="W56" s="18"/>
      <c r="X56" s="18"/>
      <c r="Y56" s="18"/>
      <c r="Z56" s="18"/>
    </row>
    <row r="57" ht="15.0" customHeight="1">
      <c r="A57" s="21"/>
      <c r="B57" s="161" t="s">
        <v>216</v>
      </c>
      <c r="C57" s="162" t="s">
        <v>217</v>
      </c>
      <c r="D57" s="163">
        <v>1.0</v>
      </c>
      <c r="E57" s="75">
        <f t="shared" si="24"/>
        <v>47.72727273</v>
      </c>
      <c r="F57" s="75">
        <v>52.5</v>
      </c>
      <c r="G57" s="87"/>
      <c r="H57" s="77" t="str">
        <f t="shared" si="25"/>
        <v>#REF!</v>
      </c>
      <c r="I57" s="78" t="str">
        <f t="shared" si="27"/>
        <v>#REF!</v>
      </c>
      <c r="J57" s="79" t="str">
        <f t="shared" si="26"/>
        <v>#REF!</v>
      </c>
      <c r="K57" s="80"/>
      <c r="L57" s="81"/>
      <c r="M57" s="139"/>
      <c r="N57" s="139"/>
      <c r="O57" s="139"/>
      <c r="P57" s="139"/>
      <c r="Q57" s="139"/>
      <c r="R57" s="154"/>
      <c r="S57" s="155"/>
      <c r="T57" s="18"/>
      <c r="U57" s="18"/>
      <c r="V57" s="18"/>
      <c r="W57" s="18"/>
      <c r="X57" s="18"/>
      <c r="Y57" s="18"/>
      <c r="Z57" s="18"/>
    </row>
    <row r="58" ht="15.0" customHeight="1">
      <c r="A58" s="21"/>
      <c r="B58" s="161" t="s">
        <v>218</v>
      </c>
      <c r="C58" s="162" t="s">
        <v>219</v>
      </c>
      <c r="D58" s="163">
        <v>1.0</v>
      </c>
      <c r="E58" s="75">
        <f t="shared" si="24"/>
        <v>51.81818182</v>
      </c>
      <c r="F58" s="75">
        <v>57.0</v>
      </c>
      <c r="G58" s="87"/>
      <c r="H58" s="77" t="str">
        <f t="shared" si="25"/>
        <v>#REF!</v>
      </c>
      <c r="I58" s="78" t="str">
        <f t="shared" si="27"/>
        <v>#REF!</v>
      </c>
      <c r="J58" s="79" t="str">
        <f t="shared" si="26"/>
        <v>#REF!</v>
      </c>
      <c r="K58" s="80"/>
      <c r="L58" s="81"/>
      <c r="M58" s="139"/>
      <c r="N58" s="139"/>
      <c r="O58" s="139"/>
      <c r="P58" s="139"/>
      <c r="Q58" s="139"/>
      <c r="R58" s="154"/>
      <c r="S58" s="155"/>
      <c r="T58" s="18"/>
      <c r="U58" s="18"/>
      <c r="V58" s="18"/>
      <c r="W58" s="18"/>
      <c r="X58" s="18"/>
      <c r="Y58" s="18"/>
      <c r="Z58" s="18"/>
    </row>
    <row r="59" ht="15.0" customHeight="1">
      <c r="A59" s="21"/>
      <c r="B59" s="161" t="s">
        <v>220</v>
      </c>
      <c r="C59" s="162" t="s">
        <v>221</v>
      </c>
      <c r="D59" s="163">
        <v>1.0</v>
      </c>
      <c r="E59" s="75">
        <f t="shared" si="24"/>
        <v>51.81818182</v>
      </c>
      <c r="F59" s="75">
        <v>57.0</v>
      </c>
      <c r="G59" s="87"/>
      <c r="H59" s="77" t="str">
        <f t="shared" si="25"/>
        <v>#REF!</v>
      </c>
      <c r="I59" s="78" t="str">
        <f t="shared" si="27"/>
        <v>#REF!</v>
      </c>
      <c r="J59" s="79" t="str">
        <f t="shared" si="26"/>
        <v>#REF!</v>
      </c>
      <c r="K59" s="80"/>
      <c r="L59" s="81"/>
      <c r="M59" s="139"/>
      <c r="N59" s="139"/>
      <c r="O59" s="139"/>
      <c r="P59" s="139"/>
      <c r="Q59" s="139"/>
      <c r="R59" s="154"/>
      <c r="S59" s="155"/>
      <c r="T59" s="18"/>
      <c r="U59" s="18"/>
      <c r="V59" s="18"/>
      <c r="W59" s="18"/>
      <c r="X59" s="18"/>
      <c r="Y59" s="18"/>
      <c r="Z59" s="18"/>
    </row>
    <row r="60" ht="12.75" customHeight="1">
      <c r="A60" s="21"/>
      <c r="B60" s="161" t="s">
        <v>222</v>
      </c>
      <c r="C60" s="162" t="s">
        <v>223</v>
      </c>
      <c r="D60" s="163">
        <v>1.0</v>
      </c>
      <c r="E60" s="75">
        <f t="shared" si="24"/>
        <v>56.36363636</v>
      </c>
      <c r="F60" s="75">
        <v>62.0</v>
      </c>
      <c r="G60" s="87"/>
      <c r="H60" s="77" t="str">
        <f t="shared" si="25"/>
        <v>#REF!</v>
      </c>
      <c r="I60" s="78" t="str">
        <f t="shared" si="27"/>
        <v>#REF!</v>
      </c>
      <c r="J60" s="79" t="str">
        <f t="shared" si="26"/>
        <v>#REF!</v>
      </c>
      <c r="K60" s="80"/>
      <c r="L60" s="81"/>
      <c r="M60" s="139"/>
      <c r="N60" s="139"/>
      <c r="O60" s="139"/>
      <c r="P60" s="139"/>
      <c r="Q60" s="139"/>
      <c r="R60" s="154"/>
      <c r="S60" s="155"/>
      <c r="T60" s="18"/>
      <c r="U60" s="18"/>
      <c r="V60" s="18"/>
      <c r="W60" s="18"/>
      <c r="X60" s="18"/>
      <c r="Y60" s="18"/>
      <c r="Z60" s="18"/>
    </row>
    <row r="61" ht="16.5" customHeight="1">
      <c r="A61" s="21"/>
      <c r="B61" s="101"/>
      <c r="C61" s="102" t="s">
        <v>224</v>
      </c>
      <c r="D61" s="166"/>
      <c r="E61" s="62" t="s">
        <v>53</v>
      </c>
      <c r="F61" s="62" t="s">
        <v>35</v>
      </c>
      <c r="G61" s="167"/>
      <c r="H61" s="168"/>
      <c r="I61" s="168"/>
      <c r="J61" s="168"/>
      <c r="K61" s="157"/>
      <c r="L61" s="158"/>
      <c r="M61" s="159"/>
      <c r="N61" s="159"/>
      <c r="O61" s="159"/>
      <c r="P61" s="159"/>
      <c r="Q61" s="158"/>
      <c r="R61" s="158"/>
      <c r="S61" s="160"/>
      <c r="T61" s="18"/>
      <c r="U61" s="18"/>
      <c r="V61" s="18"/>
      <c r="W61" s="18"/>
      <c r="X61" s="18"/>
      <c r="Y61" s="18"/>
      <c r="Z61" s="18"/>
    </row>
    <row r="62" ht="15.0" customHeight="1">
      <c r="A62" s="21"/>
      <c r="B62" s="161" t="s">
        <v>225</v>
      </c>
      <c r="C62" s="162" t="s">
        <v>226</v>
      </c>
      <c r="D62" s="163">
        <v>1.0</v>
      </c>
      <c r="E62" s="75">
        <f t="shared" ref="E62:E75" si="28">F62 - (F62/11)</f>
        <v>25.45454545</v>
      </c>
      <c r="F62" s="169">
        <v>28.0</v>
      </c>
      <c r="G62" s="170" t="s">
        <v>227</v>
      </c>
      <c r="H62" s="20"/>
      <c r="I62" s="20"/>
      <c r="J62" s="20"/>
      <c r="K62" s="80"/>
      <c r="L62" s="81"/>
      <c r="M62" s="139"/>
      <c r="N62" s="139"/>
      <c r="O62" s="139"/>
      <c r="P62" s="139"/>
      <c r="Q62" s="139"/>
      <c r="R62" s="154"/>
      <c r="S62" s="155"/>
      <c r="T62" s="18"/>
      <c r="U62" s="18"/>
      <c r="V62" s="18"/>
      <c r="W62" s="18"/>
      <c r="X62" s="18"/>
      <c r="Y62" s="18"/>
      <c r="Z62" s="18"/>
    </row>
    <row r="63" ht="15.0" customHeight="1">
      <c r="A63" s="21"/>
      <c r="B63" s="162" t="s">
        <v>228</v>
      </c>
      <c r="C63" s="162" t="s">
        <v>229</v>
      </c>
      <c r="D63" s="163">
        <v>1.0</v>
      </c>
      <c r="E63" s="75">
        <f t="shared" si="28"/>
        <v>25.45454545</v>
      </c>
      <c r="F63" s="169">
        <v>28.0</v>
      </c>
      <c r="G63" s="170" t="s">
        <v>227</v>
      </c>
      <c r="H63" s="20"/>
      <c r="I63" s="20"/>
      <c r="J63" s="20"/>
      <c r="K63" s="80"/>
      <c r="L63" s="81"/>
      <c r="M63" s="139"/>
      <c r="N63" s="139"/>
      <c r="O63" s="139"/>
      <c r="P63" s="139"/>
      <c r="Q63" s="139"/>
      <c r="R63" s="154"/>
      <c r="S63" s="155"/>
      <c r="T63" s="18"/>
      <c r="U63" s="18"/>
      <c r="V63" s="18"/>
      <c r="W63" s="18"/>
      <c r="X63" s="18"/>
      <c r="Y63" s="18"/>
      <c r="Z63" s="18"/>
    </row>
    <row r="64" ht="15.0" customHeight="1">
      <c r="A64" s="21"/>
      <c r="B64" s="162" t="s">
        <v>230</v>
      </c>
      <c r="C64" s="162" t="s">
        <v>231</v>
      </c>
      <c r="D64" s="163">
        <v>1.0</v>
      </c>
      <c r="E64" s="75">
        <f t="shared" si="28"/>
        <v>25.45454545</v>
      </c>
      <c r="F64" s="169">
        <v>28.0</v>
      </c>
      <c r="G64" s="170" t="s">
        <v>227</v>
      </c>
      <c r="H64" s="20"/>
      <c r="I64" s="20"/>
      <c r="J64" s="20"/>
      <c r="K64" s="80"/>
      <c r="L64" s="81"/>
      <c r="M64" s="139"/>
      <c r="N64" s="139"/>
      <c r="O64" s="139"/>
      <c r="P64" s="139"/>
      <c r="Q64" s="139"/>
      <c r="R64" s="154"/>
      <c r="S64" s="155"/>
      <c r="T64" s="18"/>
      <c r="U64" s="18"/>
      <c r="V64" s="18"/>
      <c r="W64" s="18"/>
      <c r="X64" s="18"/>
      <c r="Y64" s="18"/>
      <c r="Z64" s="18"/>
    </row>
    <row r="65" ht="15.0" customHeight="1">
      <c r="A65" s="21"/>
      <c r="B65" s="162" t="s">
        <v>232</v>
      </c>
      <c r="C65" s="162" t="s">
        <v>233</v>
      </c>
      <c r="D65" s="163">
        <v>1.0</v>
      </c>
      <c r="E65" s="75">
        <f t="shared" si="28"/>
        <v>25.45454545</v>
      </c>
      <c r="F65" s="169">
        <v>28.0</v>
      </c>
      <c r="G65" s="170" t="s">
        <v>227</v>
      </c>
      <c r="H65" s="20"/>
      <c r="I65" s="20"/>
      <c r="J65" s="20"/>
      <c r="K65" s="80"/>
      <c r="L65" s="81"/>
      <c r="M65" s="139"/>
      <c r="N65" s="139"/>
      <c r="O65" s="139"/>
      <c r="P65" s="139"/>
      <c r="Q65" s="139"/>
      <c r="R65" s="154"/>
      <c r="S65" s="155"/>
      <c r="T65" s="18"/>
      <c r="U65" s="18"/>
      <c r="V65" s="18"/>
      <c r="W65" s="18"/>
      <c r="X65" s="18"/>
      <c r="Y65" s="18"/>
      <c r="Z65" s="18"/>
    </row>
    <row r="66" ht="15.0" customHeight="1">
      <c r="A66" s="21"/>
      <c r="B66" s="162" t="s">
        <v>234</v>
      </c>
      <c r="C66" s="162" t="s">
        <v>235</v>
      </c>
      <c r="D66" s="163">
        <v>1.0</v>
      </c>
      <c r="E66" s="75">
        <f t="shared" si="28"/>
        <v>25.45454545</v>
      </c>
      <c r="F66" s="169">
        <v>28.0</v>
      </c>
      <c r="G66" s="170" t="s">
        <v>227</v>
      </c>
      <c r="H66" s="20"/>
      <c r="I66" s="20"/>
      <c r="J66" s="20"/>
      <c r="K66" s="80"/>
      <c r="L66" s="81"/>
      <c r="M66" s="139"/>
      <c r="N66" s="139"/>
      <c r="O66" s="139"/>
      <c r="P66" s="139"/>
      <c r="Q66" s="139"/>
      <c r="R66" s="154"/>
      <c r="S66" s="155"/>
      <c r="T66" s="18"/>
      <c r="U66" s="18"/>
      <c r="V66" s="18"/>
      <c r="W66" s="18"/>
      <c r="X66" s="18"/>
      <c r="Y66" s="18"/>
      <c r="Z66" s="18"/>
    </row>
    <row r="67" ht="15.0" customHeight="1">
      <c r="A67" s="21"/>
      <c r="B67" s="162" t="s">
        <v>236</v>
      </c>
      <c r="C67" s="162" t="s">
        <v>237</v>
      </c>
      <c r="D67" s="163">
        <v>1.0</v>
      </c>
      <c r="E67" s="75">
        <f t="shared" si="28"/>
        <v>25.45454545</v>
      </c>
      <c r="F67" s="169">
        <v>28.0</v>
      </c>
      <c r="G67" s="170" t="s">
        <v>227</v>
      </c>
      <c r="H67" s="20"/>
      <c r="I67" s="20"/>
      <c r="J67" s="20"/>
      <c r="K67" s="80"/>
      <c r="L67" s="81"/>
      <c r="M67" s="139"/>
      <c r="N67" s="139"/>
      <c r="O67" s="139"/>
      <c r="P67" s="139"/>
      <c r="Q67" s="139"/>
      <c r="R67" s="154"/>
      <c r="S67" s="155"/>
      <c r="T67" s="18"/>
      <c r="U67" s="18"/>
      <c r="V67" s="18"/>
      <c r="W67" s="18"/>
      <c r="X67" s="18"/>
      <c r="Y67" s="18"/>
      <c r="Z67" s="18"/>
    </row>
    <row r="68" ht="15.0" customHeight="1">
      <c r="A68" s="21"/>
      <c r="B68" s="162" t="s">
        <v>238</v>
      </c>
      <c r="C68" s="162" t="s">
        <v>239</v>
      </c>
      <c r="D68" s="163">
        <v>1.0</v>
      </c>
      <c r="E68" s="75">
        <f t="shared" si="28"/>
        <v>27.27272727</v>
      </c>
      <c r="F68" s="169">
        <v>30.0</v>
      </c>
      <c r="G68" s="170" t="s">
        <v>227</v>
      </c>
      <c r="H68" s="20"/>
      <c r="I68" s="20"/>
      <c r="J68" s="20"/>
      <c r="K68" s="80"/>
      <c r="L68" s="81"/>
      <c r="M68" s="139"/>
      <c r="N68" s="139"/>
      <c r="O68" s="139"/>
      <c r="P68" s="139"/>
      <c r="Q68" s="139"/>
      <c r="R68" s="154"/>
      <c r="S68" s="155"/>
      <c r="T68" s="18"/>
      <c r="U68" s="18"/>
      <c r="V68" s="18"/>
      <c r="W68" s="18"/>
      <c r="X68" s="18"/>
      <c r="Y68" s="18"/>
      <c r="Z68" s="18"/>
    </row>
    <row r="69" ht="15.0" customHeight="1">
      <c r="A69" s="21"/>
      <c r="B69" s="162" t="s">
        <v>240</v>
      </c>
      <c r="C69" s="162" t="s">
        <v>241</v>
      </c>
      <c r="D69" s="163">
        <v>1.0</v>
      </c>
      <c r="E69" s="75">
        <f t="shared" si="28"/>
        <v>27.27272727</v>
      </c>
      <c r="F69" s="169">
        <v>30.0</v>
      </c>
      <c r="G69" s="170" t="s">
        <v>227</v>
      </c>
      <c r="H69" s="20"/>
      <c r="I69" s="20"/>
      <c r="J69" s="20"/>
      <c r="K69" s="80"/>
      <c r="L69" s="81"/>
      <c r="M69" s="139"/>
      <c r="N69" s="139"/>
      <c r="O69" s="139"/>
      <c r="P69" s="139"/>
      <c r="Q69" s="139"/>
      <c r="R69" s="154"/>
      <c r="S69" s="155"/>
      <c r="T69" s="18"/>
      <c r="U69" s="18"/>
      <c r="V69" s="18"/>
      <c r="W69" s="18"/>
      <c r="X69" s="18"/>
      <c r="Y69" s="18"/>
      <c r="Z69" s="18"/>
    </row>
    <row r="70" ht="15.0" customHeight="1">
      <c r="A70" s="21"/>
      <c r="B70" s="162" t="s">
        <v>242</v>
      </c>
      <c r="C70" s="162" t="s">
        <v>243</v>
      </c>
      <c r="D70" s="163">
        <v>1.0</v>
      </c>
      <c r="E70" s="75">
        <f t="shared" si="28"/>
        <v>27.27272727</v>
      </c>
      <c r="F70" s="169">
        <v>30.0</v>
      </c>
      <c r="G70" s="170" t="s">
        <v>227</v>
      </c>
      <c r="H70" s="20"/>
      <c r="I70" s="20"/>
      <c r="J70" s="20"/>
      <c r="K70" s="80"/>
      <c r="L70" s="81"/>
      <c r="M70" s="139"/>
      <c r="N70" s="139"/>
      <c r="O70" s="139"/>
      <c r="P70" s="139"/>
      <c r="Q70" s="139"/>
      <c r="R70" s="154"/>
      <c r="S70" s="155"/>
      <c r="T70" s="18"/>
      <c r="U70" s="18"/>
      <c r="V70" s="18"/>
      <c r="W70" s="18"/>
      <c r="X70" s="18"/>
      <c r="Y70" s="18"/>
      <c r="Z70" s="18"/>
    </row>
    <row r="71" ht="15.0" customHeight="1">
      <c r="A71" s="21"/>
      <c r="B71" s="162" t="s">
        <v>244</v>
      </c>
      <c r="C71" s="162" t="s">
        <v>245</v>
      </c>
      <c r="D71" s="163">
        <v>1.0</v>
      </c>
      <c r="E71" s="75">
        <f t="shared" si="28"/>
        <v>27.27272727</v>
      </c>
      <c r="F71" s="169">
        <v>30.0</v>
      </c>
      <c r="G71" s="170" t="s">
        <v>227</v>
      </c>
      <c r="H71" s="20"/>
      <c r="I71" s="20"/>
      <c r="J71" s="20"/>
      <c r="K71" s="80"/>
      <c r="L71" s="81"/>
      <c r="M71" s="139"/>
      <c r="N71" s="139"/>
      <c r="O71" s="139"/>
      <c r="P71" s="139"/>
      <c r="Q71" s="139"/>
      <c r="R71" s="154"/>
      <c r="S71" s="155"/>
      <c r="T71" s="18"/>
      <c r="U71" s="18"/>
      <c r="V71" s="18"/>
      <c r="W71" s="18"/>
      <c r="X71" s="18"/>
      <c r="Y71" s="18"/>
      <c r="Z71" s="18"/>
    </row>
    <row r="72" ht="15.0" customHeight="1">
      <c r="A72" s="21"/>
      <c r="B72" s="162" t="s">
        <v>246</v>
      </c>
      <c r="C72" s="162" t="s">
        <v>247</v>
      </c>
      <c r="D72" s="163">
        <v>1.0</v>
      </c>
      <c r="E72" s="75">
        <f t="shared" si="28"/>
        <v>29.09090909</v>
      </c>
      <c r="F72" s="169">
        <v>32.0</v>
      </c>
      <c r="G72" s="170" t="s">
        <v>227</v>
      </c>
      <c r="H72" s="20"/>
      <c r="I72" s="20"/>
      <c r="J72" s="20"/>
      <c r="K72" s="80"/>
      <c r="L72" s="81"/>
      <c r="M72" s="139"/>
      <c r="N72" s="139"/>
      <c r="O72" s="139"/>
      <c r="P72" s="139"/>
      <c r="Q72" s="139"/>
      <c r="R72" s="154"/>
      <c r="S72" s="155"/>
      <c r="T72" s="18"/>
      <c r="U72" s="18"/>
      <c r="V72" s="18"/>
      <c r="W72" s="18"/>
      <c r="X72" s="18"/>
      <c r="Y72" s="18"/>
      <c r="Z72" s="18"/>
    </row>
    <row r="73" ht="15.0" customHeight="1">
      <c r="A73" s="21"/>
      <c r="B73" s="162" t="s">
        <v>248</v>
      </c>
      <c r="C73" s="162" t="s">
        <v>249</v>
      </c>
      <c r="D73" s="163">
        <v>1.0</v>
      </c>
      <c r="E73" s="75">
        <f t="shared" si="28"/>
        <v>29.09090909</v>
      </c>
      <c r="F73" s="169">
        <v>32.0</v>
      </c>
      <c r="G73" s="170" t="s">
        <v>227</v>
      </c>
      <c r="H73" s="20"/>
      <c r="I73" s="20"/>
      <c r="J73" s="20"/>
      <c r="K73" s="80"/>
      <c r="L73" s="81"/>
      <c r="M73" s="139"/>
      <c r="N73" s="139"/>
      <c r="O73" s="139"/>
      <c r="P73" s="139"/>
      <c r="Q73" s="139"/>
      <c r="R73" s="154"/>
      <c r="S73" s="155"/>
      <c r="T73" s="18"/>
      <c r="U73" s="18"/>
      <c r="V73" s="18"/>
      <c r="W73" s="18"/>
      <c r="X73" s="18"/>
      <c r="Y73" s="18"/>
      <c r="Z73" s="18"/>
    </row>
    <row r="74" ht="15.0" customHeight="1">
      <c r="A74" s="21"/>
      <c r="B74" s="162" t="s">
        <v>250</v>
      </c>
      <c r="C74" s="162" t="s">
        <v>251</v>
      </c>
      <c r="D74" s="163">
        <v>1.0</v>
      </c>
      <c r="E74" s="75">
        <f t="shared" si="28"/>
        <v>29.09090909</v>
      </c>
      <c r="F74" s="169">
        <v>32.0</v>
      </c>
      <c r="G74" s="170" t="s">
        <v>227</v>
      </c>
      <c r="H74" s="20"/>
      <c r="I74" s="20"/>
      <c r="J74" s="20"/>
      <c r="K74" s="80"/>
      <c r="L74" s="81"/>
      <c r="M74" s="139"/>
      <c r="N74" s="139"/>
      <c r="O74" s="139"/>
      <c r="P74" s="139"/>
      <c r="Q74" s="139"/>
      <c r="R74" s="154"/>
      <c r="S74" s="155"/>
      <c r="T74" s="18"/>
      <c r="U74" s="18"/>
      <c r="V74" s="18"/>
      <c r="W74" s="18"/>
      <c r="X74" s="18"/>
      <c r="Y74" s="18"/>
      <c r="Z74" s="18"/>
    </row>
    <row r="75" ht="15.0" customHeight="1">
      <c r="A75" s="21"/>
      <c r="B75" s="162" t="s">
        <v>252</v>
      </c>
      <c r="C75" s="162" t="s">
        <v>253</v>
      </c>
      <c r="D75" s="163">
        <v>1.0</v>
      </c>
      <c r="E75" s="75">
        <f t="shared" si="28"/>
        <v>29.09090909</v>
      </c>
      <c r="F75" s="169">
        <v>32.0</v>
      </c>
      <c r="G75" s="170" t="s">
        <v>227</v>
      </c>
      <c r="H75" s="20"/>
      <c r="I75" s="20"/>
      <c r="J75" s="20"/>
      <c r="K75" s="80"/>
      <c r="L75" s="81"/>
      <c r="M75" s="139"/>
      <c r="N75" s="139"/>
      <c r="O75" s="139"/>
      <c r="P75" s="139"/>
      <c r="Q75" s="139"/>
      <c r="R75" s="154"/>
      <c r="S75" s="155"/>
      <c r="T75" s="18"/>
      <c r="U75" s="18"/>
      <c r="V75" s="18"/>
      <c r="W75" s="18"/>
      <c r="X75" s="18"/>
      <c r="Y75" s="18"/>
      <c r="Z75" s="18"/>
    </row>
    <row r="76" ht="16.5" customHeight="1">
      <c r="A76" s="18"/>
      <c r="B76" s="171"/>
      <c r="C76" s="172" t="s">
        <v>254</v>
      </c>
      <c r="D76" s="173"/>
      <c r="E76" s="62" t="s">
        <v>53</v>
      </c>
      <c r="F76" s="62" t="s">
        <v>35</v>
      </c>
      <c r="G76" s="174"/>
      <c r="H76" s="100"/>
      <c r="I76" s="100"/>
      <c r="J76" s="100"/>
      <c r="K76" s="157"/>
      <c r="L76" s="158"/>
      <c r="M76" s="159"/>
      <c r="N76" s="159"/>
      <c r="O76" s="159"/>
      <c r="P76" s="159"/>
      <c r="Q76" s="158"/>
      <c r="R76" s="158"/>
      <c r="S76" s="160"/>
      <c r="T76" s="18"/>
      <c r="U76" s="18"/>
      <c r="V76" s="18"/>
      <c r="W76" s="18"/>
      <c r="X76" s="18"/>
      <c r="Y76" s="18"/>
      <c r="Z76" s="18"/>
    </row>
    <row r="77" ht="15.0" customHeight="1">
      <c r="A77" s="21"/>
      <c r="B77" s="73" t="s">
        <v>255</v>
      </c>
      <c r="C77" s="175" t="s">
        <v>256</v>
      </c>
      <c r="D77" s="176">
        <v>1.0</v>
      </c>
      <c r="E77" s="75">
        <f t="shared" ref="E77:E86" si="29">F77 - (F77/11)</f>
        <v>43.63636364</v>
      </c>
      <c r="F77" s="75">
        <v>48.0</v>
      </c>
      <c r="G77" s="177" t="s">
        <v>257</v>
      </c>
      <c r="H77" s="77" t="str">
        <f t="shared" ref="H77:H86" si="30">SUM(#REF!)</f>
        <v>#REF!</v>
      </c>
      <c r="I77" s="79" t="str">
        <f t="shared" ref="I77:I86" si="31">#REF!*H77</f>
        <v>#REF!</v>
      </c>
      <c r="J77" s="79" t="str">
        <f t="shared" ref="J77:J86" si="32">I77*1.65</f>
        <v>#REF!</v>
      </c>
      <c r="K77" s="80"/>
      <c r="L77" s="81"/>
      <c r="M77" s="139"/>
      <c r="N77" s="139"/>
      <c r="O77" s="139"/>
      <c r="P77" s="139"/>
      <c r="Q77" s="139"/>
      <c r="R77" s="154"/>
      <c r="S77" s="155"/>
      <c r="T77" s="18"/>
      <c r="U77" s="18"/>
      <c r="V77" s="18"/>
      <c r="W77" s="18"/>
      <c r="X77" s="18"/>
      <c r="Y77" s="18"/>
      <c r="Z77" s="18"/>
    </row>
    <row r="78" ht="15.0" customHeight="1">
      <c r="A78" s="21"/>
      <c r="B78" s="73" t="s">
        <v>258</v>
      </c>
      <c r="C78" s="175" t="s">
        <v>256</v>
      </c>
      <c r="D78" s="176">
        <v>1.0</v>
      </c>
      <c r="E78" s="75">
        <f t="shared" si="29"/>
        <v>43.63636364</v>
      </c>
      <c r="F78" s="75">
        <v>48.0</v>
      </c>
      <c r="G78" s="177" t="s">
        <v>257</v>
      </c>
      <c r="H78" s="77" t="str">
        <f t="shared" si="30"/>
        <v>#REF!</v>
      </c>
      <c r="I78" s="79" t="str">
        <f t="shared" si="31"/>
        <v>#REF!</v>
      </c>
      <c r="J78" s="79" t="str">
        <f t="shared" si="32"/>
        <v>#REF!</v>
      </c>
      <c r="K78" s="80"/>
      <c r="L78" s="81"/>
      <c r="M78" s="139"/>
      <c r="N78" s="139"/>
      <c r="O78" s="139"/>
      <c r="P78" s="139"/>
      <c r="Q78" s="139"/>
      <c r="R78" s="154"/>
      <c r="S78" s="155"/>
      <c r="T78" s="18"/>
      <c r="U78" s="18"/>
      <c r="V78" s="18"/>
      <c r="W78" s="18"/>
      <c r="X78" s="18"/>
      <c r="Y78" s="18"/>
      <c r="Z78" s="18"/>
    </row>
    <row r="79" ht="15.0" customHeight="1">
      <c r="A79" s="21"/>
      <c r="B79" s="73" t="s">
        <v>259</v>
      </c>
      <c r="C79" s="175" t="s">
        <v>256</v>
      </c>
      <c r="D79" s="176">
        <v>1.0</v>
      </c>
      <c r="E79" s="75">
        <f t="shared" si="29"/>
        <v>43.63636364</v>
      </c>
      <c r="F79" s="75">
        <v>48.0</v>
      </c>
      <c r="G79" s="177" t="s">
        <v>257</v>
      </c>
      <c r="H79" s="77" t="str">
        <f t="shared" si="30"/>
        <v>#REF!</v>
      </c>
      <c r="I79" s="79" t="str">
        <f t="shared" si="31"/>
        <v>#REF!</v>
      </c>
      <c r="J79" s="79" t="str">
        <f t="shared" si="32"/>
        <v>#REF!</v>
      </c>
      <c r="K79" s="80"/>
      <c r="L79" s="81"/>
      <c r="M79" s="139"/>
      <c r="N79" s="139"/>
      <c r="O79" s="139"/>
      <c r="P79" s="139"/>
      <c r="Q79" s="139"/>
      <c r="R79" s="154"/>
      <c r="S79" s="155"/>
      <c r="T79" s="18"/>
      <c r="U79" s="18"/>
      <c r="V79" s="18"/>
      <c r="W79" s="18"/>
      <c r="X79" s="18"/>
      <c r="Y79" s="18"/>
      <c r="Z79" s="18"/>
    </row>
    <row r="80" ht="15.0" customHeight="1">
      <c r="A80" s="21"/>
      <c r="B80" s="73" t="s">
        <v>260</v>
      </c>
      <c r="C80" s="175" t="s">
        <v>256</v>
      </c>
      <c r="D80" s="176">
        <v>1.0</v>
      </c>
      <c r="E80" s="75">
        <f t="shared" si="29"/>
        <v>43.63636364</v>
      </c>
      <c r="F80" s="75">
        <v>48.0</v>
      </c>
      <c r="G80" s="177" t="s">
        <v>257</v>
      </c>
      <c r="H80" s="77" t="str">
        <f t="shared" si="30"/>
        <v>#REF!</v>
      </c>
      <c r="I80" s="79" t="str">
        <f t="shared" si="31"/>
        <v>#REF!</v>
      </c>
      <c r="J80" s="79" t="str">
        <f t="shared" si="32"/>
        <v>#REF!</v>
      </c>
      <c r="K80" s="80"/>
      <c r="L80" s="81"/>
      <c r="M80" s="139"/>
      <c r="N80" s="139"/>
      <c r="O80" s="139"/>
      <c r="P80" s="139"/>
      <c r="Q80" s="139"/>
      <c r="R80" s="154"/>
      <c r="S80" s="155"/>
      <c r="T80" s="18"/>
      <c r="U80" s="18"/>
      <c r="V80" s="18"/>
      <c r="W80" s="18"/>
      <c r="X80" s="18"/>
      <c r="Y80" s="18"/>
      <c r="Z80" s="18"/>
    </row>
    <row r="81" ht="15.0" customHeight="1">
      <c r="A81" s="21"/>
      <c r="B81" s="73" t="s">
        <v>261</v>
      </c>
      <c r="C81" s="175" t="s">
        <v>256</v>
      </c>
      <c r="D81" s="176">
        <v>1.0</v>
      </c>
      <c r="E81" s="75">
        <f t="shared" si="29"/>
        <v>43.63636364</v>
      </c>
      <c r="F81" s="75">
        <v>48.0</v>
      </c>
      <c r="G81" s="177" t="s">
        <v>257</v>
      </c>
      <c r="H81" s="77" t="str">
        <f t="shared" si="30"/>
        <v>#REF!</v>
      </c>
      <c r="I81" s="79" t="str">
        <f t="shared" si="31"/>
        <v>#REF!</v>
      </c>
      <c r="J81" s="79" t="str">
        <f t="shared" si="32"/>
        <v>#REF!</v>
      </c>
      <c r="K81" s="80"/>
      <c r="L81" s="81"/>
      <c r="M81" s="139"/>
      <c r="N81" s="139"/>
      <c r="O81" s="139"/>
      <c r="P81" s="139"/>
      <c r="Q81" s="139"/>
      <c r="R81" s="154"/>
      <c r="S81" s="155"/>
      <c r="T81" s="18"/>
      <c r="U81" s="18"/>
      <c r="V81" s="18"/>
      <c r="W81" s="18"/>
      <c r="X81" s="18"/>
      <c r="Y81" s="18"/>
      <c r="Z81" s="18"/>
    </row>
    <row r="82" ht="15.0" customHeight="1">
      <c r="A82" s="21"/>
      <c r="B82" s="73" t="s">
        <v>262</v>
      </c>
      <c r="C82" s="175" t="s">
        <v>256</v>
      </c>
      <c r="D82" s="176">
        <v>1.0</v>
      </c>
      <c r="E82" s="75">
        <f t="shared" si="29"/>
        <v>43.63636364</v>
      </c>
      <c r="F82" s="75">
        <v>48.0</v>
      </c>
      <c r="G82" s="177" t="s">
        <v>257</v>
      </c>
      <c r="H82" s="77" t="str">
        <f t="shared" si="30"/>
        <v>#REF!</v>
      </c>
      <c r="I82" s="79" t="str">
        <f t="shared" si="31"/>
        <v>#REF!</v>
      </c>
      <c r="J82" s="79" t="str">
        <f t="shared" si="32"/>
        <v>#REF!</v>
      </c>
      <c r="K82" s="80"/>
      <c r="L82" s="81"/>
      <c r="M82" s="139"/>
      <c r="N82" s="139"/>
      <c r="O82" s="139"/>
      <c r="P82" s="139"/>
      <c r="Q82" s="139"/>
      <c r="R82" s="154"/>
      <c r="S82" s="155"/>
      <c r="T82" s="18"/>
      <c r="U82" s="18"/>
      <c r="V82" s="18"/>
      <c r="W82" s="18"/>
      <c r="X82" s="18"/>
      <c r="Y82" s="18"/>
      <c r="Z82" s="18"/>
    </row>
    <row r="83" ht="15.0" customHeight="1">
      <c r="A83" s="21"/>
      <c r="B83" s="73" t="s">
        <v>263</v>
      </c>
      <c r="C83" s="175" t="s">
        <v>256</v>
      </c>
      <c r="D83" s="176">
        <v>1.0</v>
      </c>
      <c r="E83" s="75">
        <f t="shared" si="29"/>
        <v>43.63636364</v>
      </c>
      <c r="F83" s="75">
        <v>48.0</v>
      </c>
      <c r="G83" s="177" t="s">
        <v>257</v>
      </c>
      <c r="H83" s="77" t="str">
        <f t="shared" si="30"/>
        <v>#REF!</v>
      </c>
      <c r="I83" s="79" t="str">
        <f t="shared" si="31"/>
        <v>#REF!</v>
      </c>
      <c r="J83" s="79" t="str">
        <f t="shared" si="32"/>
        <v>#REF!</v>
      </c>
      <c r="K83" s="80"/>
      <c r="L83" s="81"/>
      <c r="M83" s="139"/>
      <c r="N83" s="139"/>
      <c r="O83" s="139"/>
      <c r="P83" s="139"/>
      <c r="Q83" s="139"/>
      <c r="R83" s="154"/>
      <c r="S83" s="155"/>
      <c r="T83" s="18"/>
      <c r="U83" s="18"/>
      <c r="V83" s="18"/>
      <c r="W83" s="18"/>
      <c r="X83" s="18"/>
      <c r="Y83" s="18"/>
      <c r="Z83" s="18"/>
    </row>
    <row r="84" ht="15.0" customHeight="1">
      <c r="A84" s="21"/>
      <c r="B84" s="73" t="s">
        <v>264</v>
      </c>
      <c r="C84" s="175" t="s">
        <v>256</v>
      </c>
      <c r="D84" s="176">
        <v>1.0</v>
      </c>
      <c r="E84" s="75">
        <f t="shared" si="29"/>
        <v>43.63636364</v>
      </c>
      <c r="F84" s="75">
        <v>48.0</v>
      </c>
      <c r="G84" s="177" t="s">
        <v>257</v>
      </c>
      <c r="H84" s="77" t="str">
        <f t="shared" si="30"/>
        <v>#REF!</v>
      </c>
      <c r="I84" s="79" t="str">
        <f t="shared" si="31"/>
        <v>#REF!</v>
      </c>
      <c r="J84" s="79" t="str">
        <f t="shared" si="32"/>
        <v>#REF!</v>
      </c>
      <c r="K84" s="80"/>
      <c r="L84" s="81"/>
      <c r="M84" s="139"/>
      <c r="N84" s="139"/>
      <c r="O84" s="139"/>
      <c r="P84" s="139"/>
      <c r="Q84" s="139"/>
      <c r="R84" s="154"/>
      <c r="S84" s="155"/>
      <c r="T84" s="18"/>
      <c r="U84" s="18"/>
      <c r="V84" s="18"/>
      <c r="W84" s="18"/>
      <c r="X84" s="18"/>
      <c r="Y84" s="18"/>
      <c r="Z84" s="18"/>
    </row>
    <row r="85" ht="15.0" customHeight="1">
      <c r="A85" s="21"/>
      <c r="B85" s="73" t="s">
        <v>265</v>
      </c>
      <c r="C85" s="175" t="s">
        <v>256</v>
      </c>
      <c r="D85" s="176">
        <v>1.0</v>
      </c>
      <c r="E85" s="75">
        <f t="shared" si="29"/>
        <v>43.63636364</v>
      </c>
      <c r="F85" s="75">
        <v>48.0</v>
      </c>
      <c r="G85" s="177" t="s">
        <v>257</v>
      </c>
      <c r="H85" s="77" t="str">
        <f t="shared" si="30"/>
        <v>#REF!</v>
      </c>
      <c r="I85" s="79" t="str">
        <f t="shared" si="31"/>
        <v>#REF!</v>
      </c>
      <c r="J85" s="79" t="str">
        <f t="shared" si="32"/>
        <v>#REF!</v>
      </c>
      <c r="K85" s="80"/>
      <c r="L85" s="81"/>
      <c r="M85" s="139"/>
      <c r="N85" s="139"/>
      <c r="O85" s="139"/>
      <c r="P85" s="139"/>
      <c r="Q85" s="139"/>
      <c r="R85" s="154"/>
      <c r="S85" s="155"/>
      <c r="T85" s="18"/>
      <c r="U85" s="18"/>
      <c r="V85" s="18"/>
      <c r="W85" s="18"/>
      <c r="X85" s="18"/>
      <c r="Y85" s="18"/>
      <c r="Z85" s="18"/>
    </row>
    <row r="86" ht="15.0" customHeight="1">
      <c r="A86" s="21"/>
      <c r="B86" s="73" t="s">
        <v>266</v>
      </c>
      <c r="C86" s="175" t="s">
        <v>256</v>
      </c>
      <c r="D86" s="176">
        <v>1.0</v>
      </c>
      <c r="E86" s="75">
        <f t="shared" si="29"/>
        <v>43.63636364</v>
      </c>
      <c r="F86" s="75">
        <v>48.0</v>
      </c>
      <c r="G86" s="177" t="s">
        <v>257</v>
      </c>
      <c r="H86" s="77" t="str">
        <f t="shared" si="30"/>
        <v>#REF!</v>
      </c>
      <c r="I86" s="79" t="str">
        <f t="shared" si="31"/>
        <v>#REF!</v>
      </c>
      <c r="J86" s="79" t="str">
        <f t="shared" si="32"/>
        <v>#REF!</v>
      </c>
      <c r="K86" s="80"/>
      <c r="L86" s="81"/>
      <c r="M86" s="139"/>
      <c r="N86" s="139"/>
      <c r="O86" s="139"/>
      <c r="P86" s="139"/>
      <c r="Q86" s="139"/>
      <c r="R86" s="154"/>
      <c r="S86" s="155"/>
      <c r="T86" s="18"/>
      <c r="U86" s="18"/>
      <c r="V86" s="18"/>
      <c r="W86" s="18"/>
      <c r="X86" s="18"/>
      <c r="Y86" s="18"/>
      <c r="Z86" s="18"/>
    </row>
    <row r="87" ht="16.5" customHeight="1">
      <c r="A87" s="21"/>
      <c r="B87" s="120"/>
      <c r="C87" s="178" t="s">
        <v>267</v>
      </c>
      <c r="D87" s="179"/>
      <c r="E87" s="62" t="s">
        <v>53</v>
      </c>
      <c r="F87" s="180" t="s">
        <v>35</v>
      </c>
      <c r="G87" s="181"/>
      <c r="H87" s="105"/>
      <c r="I87" s="117"/>
      <c r="J87" s="117"/>
      <c r="K87" s="157"/>
      <c r="L87" s="158"/>
      <c r="M87" s="159"/>
      <c r="N87" s="159"/>
      <c r="O87" s="159"/>
      <c r="P87" s="159"/>
      <c r="Q87" s="158"/>
      <c r="R87" s="158"/>
      <c r="S87" s="160"/>
      <c r="T87" s="18"/>
      <c r="U87" s="18"/>
      <c r="V87" s="18"/>
      <c r="W87" s="18"/>
      <c r="X87" s="18"/>
      <c r="Y87" s="18"/>
      <c r="Z87" s="18"/>
    </row>
    <row r="88" ht="15.0" customHeight="1">
      <c r="A88" s="21"/>
      <c r="B88" s="73" t="s">
        <v>268</v>
      </c>
      <c r="C88" s="72" t="s">
        <v>269</v>
      </c>
      <c r="D88" s="74">
        <v>1.0</v>
      </c>
      <c r="E88" s="182">
        <f t="shared" ref="E88:E92" si="33">F88 - (F88/11)</f>
        <v>18.18181818</v>
      </c>
      <c r="F88" s="75">
        <v>20.0</v>
      </c>
      <c r="G88" s="183" t="s">
        <v>270</v>
      </c>
      <c r="H88" s="77"/>
      <c r="I88" s="79"/>
      <c r="J88" s="79"/>
      <c r="K88" s="80"/>
      <c r="L88" s="81"/>
      <c r="M88" s="139"/>
      <c r="N88" s="139"/>
      <c r="O88" s="139"/>
      <c r="P88" s="139"/>
      <c r="Q88" s="139"/>
      <c r="R88" s="154"/>
      <c r="S88" s="155"/>
      <c r="T88" s="18"/>
      <c r="U88" s="18"/>
      <c r="V88" s="18"/>
      <c r="W88" s="18"/>
      <c r="X88" s="18"/>
      <c r="Y88" s="18"/>
      <c r="Z88" s="18"/>
    </row>
    <row r="89" ht="15.0" customHeight="1">
      <c r="A89" s="21"/>
      <c r="B89" s="73" t="s">
        <v>271</v>
      </c>
      <c r="C89" s="72" t="s">
        <v>272</v>
      </c>
      <c r="D89" s="74">
        <v>1.0</v>
      </c>
      <c r="E89" s="182">
        <f t="shared" si="33"/>
        <v>18.18181818</v>
      </c>
      <c r="F89" s="75">
        <v>20.0</v>
      </c>
      <c r="G89" s="183" t="s">
        <v>273</v>
      </c>
      <c r="H89" s="77"/>
      <c r="I89" s="79"/>
      <c r="J89" s="79"/>
      <c r="K89" s="80"/>
      <c r="L89" s="81"/>
      <c r="M89" s="139"/>
      <c r="N89" s="139"/>
      <c r="O89" s="139"/>
      <c r="P89" s="139"/>
      <c r="Q89" s="139"/>
      <c r="R89" s="154"/>
      <c r="S89" s="155"/>
      <c r="T89" s="18"/>
      <c r="U89" s="18"/>
      <c r="V89" s="18"/>
      <c r="W89" s="18"/>
      <c r="X89" s="18"/>
      <c r="Y89" s="18"/>
      <c r="Z89" s="18"/>
    </row>
    <row r="90" ht="15.0" customHeight="1">
      <c r="A90" s="21"/>
      <c r="B90" s="73" t="s">
        <v>274</v>
      </c>
      <c r="C90" s="72" t="s">
        <v>275</v>
      </c>
      <c r="D90" s="74">
        <v>1.0</v>
      </c>
      <c r="E90" s="182">
        <f t="shared" si="33"/>
        <v>15.90909091</v>
      </c>
      <c r="F90" s="75">
        <v>17.5</v>
      </c>
      <c r="G90" s="183" t="s">
        <v>270</v>
      </c>
      <c r="H90" s="77"/>
      <c r="I90" s="79"/>
      <c r="J90" s="79"/>
      <c r="K90" s="80"/>
      <c r="L90" s="81"/>
      <c r="M90" s="139"/>
      <c r="N90" s="139"/>
      <c r="O90" s="139"/>
      <c r="P90" s="139"/>
      <c r="Q90" s="139"/>
      <c r="R90" s="154"/>
      <c r="S90" s="155"/>
      <c r="T90" s="18"/>
      <c r="U90" s="18"/>
      <c r="V90" s="18"/>
      <c r="W90" s="18"/>
      <c r="X90" s="18"/>
      <c r="Y90" s="18"/>
      <c r="Z90" s="18"/>
    </row>
    <row r="91" ht="15.0" customHeight="1">
      <c r="A91" s="21"/>
      <c r="B91" s="73" t="s">
        <v>276</v>
      </c>
      <c r="C91" s="72" t="s">
        <v>272</v>
      </c>
      <c r="D91" s="74">
        <v>1.0</v>
      </c>
      <c r="E91" s="182">
        <f t="shared" si="33"/>
        <v>15.90909091</v>
      </c>
      <c r="F91" s="75">
        <v>17.5</v>
      </c>
      <c r="G91" s="183" t="s">
        <v>273</v>
      </c>
      <c r="H91" s="77"/>
      <c r="I91" s="79"/>
      <c r="J91" s="79"/>
      <c r="K91" s="80"/>
      <c r="L91" s="81"/>
      <c r="M91" s="139"/>
      <c r="N91" s="139"/>
      <c r="O91" s="139"/>
      <c r="P91" s="139"/>
      <c r="Q91" s="139"/>
      <c r="R91" s="154"/>
      <c r="S91" s="155"/>
      <c r="T91" s="18"/>
      <c r="U91" s="18"/>
      <c r="V91" s="18"/>
      <c r="W91" s="18"/>
      <c r="X91" s="18"/>
      <c r="Y91" s="18"/>
      <c r="Z91" s="18"/>
    </row>
    <row r="92" ht="15.0" customHeight="1">
      <c r="A92" s="21"/>
      <c r="B92" s="73" t="s">
        <v>277</v>
      </c>
      <c r="C92" s="72" t="s">
        <v>278</v>
      </c>
      <c r="D92" s="74">
        <v>1.0</v>
      </c>
      <c r="E92" s="182">
        <f t="shared" si="33"/>
        <v>24.09090909</v>
      </c>
      <c r="F92" s="75">
        <v>26.5</v>
      </c>
      <c r="G92" s="184"/>
      <c r="H92" s="77"/>
      <c r="I92" s="79"/>
      <c r="J92" s="79"/>
      <c r="K92" s="80"/>
      <c r="L92" s="81"/>
      <c r="M92" s="139"/>
      <c r="N92" s="139"/>
      <c r="O92" s="139"/>
      <c r="P92" s="139"/>
      <c r="Q92" s="139"/>
      <c r="R92" s="154"/>
      <c r="S92" s="155"/>
      <c r="T92" s="18"/>
      <c r="U92" s="18"/>
      <c r="V92" s="18"/>
      <c r="W92" s="18"/>
      <c r="X92" s="18"/>
      <c r="Y92" s="18"/>
      <c r="Z92" s="18"/>
    </row>
    <row r="93" ht="15.0" customHeight="1">
      <c r="A93" s="21"/>
      <c r="B93" s="185"/>
      <c r="C93" s="186"/>
      <c r="D93" s="187"/>
      <c r="E93" s="188"/>
      <c r="F93" s="189"/>
      <c r="G93" s="190"/>
      <c r="H93" s="191"/>
      <c r="I93" s="192"/>
      <c r="J93" s="192"/>
      <c r="K93" s="193"/>
      <c r="L93" s="194"/>
      <c r="M93" s="195"/>
      <c r="N93" s="195"/>
      <c r="O93" s="195"/>
      <c r="P93" s="195"/>
      <c r="Q93" s="195"/>
      <c r="R93" s="196"/>
      <c r="S93" s="197"/>
      <c r="T93" s="18"/>
      <c r="U93" s="18"/>
      <c r="V93" s="18"/>
      <c r="W93" s="18"/>
      <c r="X93" s="18"/>
      <c r="Y93" s="18"/>
      <c r="Z93" s="18"/>
    </row>
    <row r="94" ht="12.75" customHeight="1">
      <c r="A94" s="18"/>
      <c r="B94" s="18"/>
      <c r="C94" s="18"/>
      <c r="D94" s="21"/>
      <c r="E94" s="198"/>
      <c r="F94" s="198"/>
      <c r="G94" s="18"/>
      <c r="H94" s="199" t="s">
        <v>279</v>
      </c>
      <c r="I94" s="200" t="str">
        <f t="shared" ref="I94:J94" si="34">SUM(I5:I86)</f>
        <v>#REF!</v>
      </c>
      <c r="J94" s="200" t="str">
        <f t="shared" si="34"/>
        <v>#REF!</v>
      </c>
      <c r="K94" s="201"/>
      <c r="L94" s="201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2.75" customHeight="1">
      <c r="A95" s="18"/>
      <c r="B95" s="18"/>
      <c r="C95" s="18"/>
      <c r="D95" s="21"/>
      <c r="E95" s="202" t="s">
        <v>34</v>
      </c>
      <c r="F95" s="203" t="s">
        <v>35</v>
      </c>
      <c r="G95" s="18"/>
      <c r="H95" s="21"/>
      <c r="I95" s="21" t="s">
        <v>38</v>
      </c>
      <c r="J95" s="20" t="s">
        <v>39</v>
      </c>
      <c r="K95" s="21"/>
      <c r="L95" s="21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2.75" customHeight="1">
      <c r="A96" s="18"/>
      <c r="B96" s="18"/>
      <c r="C96" s="18"/>
      <c r="D96" s="21"/>
      <c r="E96" s="20"/>
      <c r="F96" s="20"/>
      <c r="G96" s="18"/>
      <c r="H96" s="21"/>
      <c r="I96" s="21"/>
      <c r="J96" s="21"/>
      <c r="K96" s="21"/>
      <c r="L96" s="21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2.75" customHeight="1">
      <c r="A97" s="18"/>
      <c r="B97" s="18"/>
      <c r="C97" s="18"/>
      <c r="D97" s="21"/>
      <c r="E97" s="20"/>
      <c r="F97" s="20"/>
      <c r="G97" s="18"/>
      <c r="H97" s="21"/>
      <c r="I97" s="21"/>
      <c r="J97" s="21"/>
      <c r="K97" s="21"/>
      <c r="L97" s="21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2.75" customHeight="1">
      <c r="A98" s="18"/>
      <c r="B98" s="18"/>
      <c r="C98" s="18"/>
      <c r="D98" s="21"/>
      <c r="E98" s="20"/>
      <c r="F98" s="20"/>
      <c r="G98" s="18"/>
      <c r="H98" s="21"/>
      <c r="I98" s="21"/>
      <c r="J98" s="21"/>
      <c r="K98" s="21"/>
      <c r="L98" s="21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2.75" customHeight="1">
      <c r="A99" s="18"/>
      <c r="B99" s="18"/>
      <c r="C99" s="18"/>
      <c r="D99" s="21"/>
      <c r="E99" s="20"/>
      <c r="F99" s="20"/>
      <c r="G99" s="18"/>
      <c r="H99" s="21"/>
      <c r="I99" s="21"/>
      <c r="J99" s="21"/>
      <c r="K99" s="21"/>
      <c r="L99" s="21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2.75" customHeight="1">
      <c r="A100" s="18"/>
      <c r="B100" s="18"/>
      <c r="C100" s="18"/>
      <c r="D100" s="21"/>
      <c r="E100" s="20"/>
      <c r="F100" s="20"/>
      <c r="G100" s="18"/>
      <c r="H100" s="21"/>
      <c r="I100" s="21"/>
      <c r="J100" s="21"/>
      <c r="K100" s="21"/>
      <c r="L100" s="21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2.75" customHeight="1">
      <c r="A101" s="18"/>
      <c r="B101" s="18"/>
      <c r="C101" s="18"/>
      <c r="D101" s="21"/>
      <c r="E101" s="20"/>
      <c r="F101" s="20"/>
      <c r="G101" s="18"/>
      <c r="H101" s="21"/>
      <c r="I101" s="21"/>
      <c r="J101" s="21"/>
      <c r="K101" s="21"/>
      <c r="L101" s="21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2.75" customHeight="1">
      <c r="A102" s="18"/>
      <c r="B102" s="18"/>
      <c r="C102" s="18"/>
      <c r="D102" s="21"/>
      <c r="E102" s="20"/>
      <c r="F102" s="20"/>
      <c r="G102" s="18"/>
      <c r="H102" s="21"/>
      <c r="I102" s="21"/>
      <c r="J102" s="21"/>
      <c r="K102" s="21"/>
      <c r="L102" s="21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2.75" customHeight="1">
      <c r="A103" s="18"/>
      <c r="B103" s="18"/>
      <c r="C103" s="18"/>
      <c r="D103" s="21"/>
      <c r="E103" s="20"/>
      <c r="F103" s="20"/>
      <c r="G103" s="18"/>
      <c r="H103" s="21"/>
      <c r="I103" s="21"/>
      <c r="J103" s="21"/>
      <c r="K103" s="21"/>
      <c r="L103" s="21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2.75" customHeight="1">
      <c r="A104" s="18"/>
      <c r="B104" s="18"/>
      <c r="C104" s="18"/>
      <c r="D104" s="21"/>
      <c r="E104" s="20"/>
      <c r="F104" s="20"/>
      <c r="G104" s="18"/>
      <c r="H104" s="21"/>
      <c r="I104" s="21"/>
      <c r="J104" s="21"/>
      <c r="K104" s="21"/>
      <c r="L104" s="21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2.75" customHeight="1">
      <c r="A105" s="18"/>
      <c r="B105" s="18"/>
      <c r="C105" s="18"/>
      <c r="D105" s="21"/>
      <c r="E105" s="20"/>
      <c r="F105" s="20"/>
      <c r="G105" s="18"/>
      <c r="H105" s="21"/>
      <c r="I105" s="21"/>
      <c r="J105" s="21"/>
      <c r="K105" s="21"/>
      <c r="L105" s="21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2.75" customHeight="1">
      <c r="A106" s="18"/>
      <c r="B106" s="18"/>
      <c r="C106" s="18"/>
      <c r="D106" s="21"/>
      <c r="E106" s="20"/>
      <c r="F106" s="20"/>
      <c r="G106" s="18"/>
      <c r="H106" s="21"/>
      <c r="I106" s="21"/>
      <c r="J106" s="21"/>
      <c r="K106" s="21"/>
      <c r="L106" s="21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2.75" customHeight="1">
      <c r="A107" s="18"/>
      <c r="B107" s="18"/>
      <c r="C107" s="18"/>
      <c r="D107" s="21"/>
      <c r="E107" s="20"/>
      <c r="F107" s="20"/>
      <c r="G107" s="18"/>
      <c r="H107" s="21"/>
      <c r="I107" s="21"/>
      <c r="J107" s="21"/>
      <c r="K107" s="21"/>
      <c r="L107" s="21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2.75" customHeight="1">
      <c r="A108" s="18"/>
      <c r="B108" s="18"/>
      <c r="C108" s="18"/>
      <c r="D108" s="21"/>
      <c r="E108" s="20"/>
      <c r="F108" s="20"/>
      <c r="G108" s="18"/>
      <c r="H108" s="21"/>
      <c r="I108" s="21"/>
      <c r="J108" s="21"/>
      <c r="K108" s="21"/>
      <c r="L108" s="21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2.75" customHeight="1">
      <c r="A109" s="18"/>
      <c r="B109" s="18"/>
      <c r="C109" s="18"/>
      <c r="D109" s="21"/>
      <c r="E109" s="20"/>
      <c r="F109" s="20"/>
      <c r="G109" s="18"/>
      <c r="H109" s="21"/>
      <c r="I109" s="21"/>
      <c r="J109" s="21"/>
      <c r="K109" s="21"/>
      <c r="L109" s="21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2.75" customHeight="1">
      <c r="A110" s="18"/>
      <c r="B110" s="18"/>
      <c r="C110" s="18"/>
      <c r="D110" s="21"/>
      <c r="E110" s="20"/>
      <c r="F110" s="20"/>
      <c r="G110" s="18"/>
      <c r="H110" s="21"/>
      <c r="I110" s="21"/>
      <c r="J110" s="21"/>
      <c r="K110" s="21"/>
      <c r="L110" s="21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2.75" customHeight="1">
      <c r="A111" s="18"/>
      <c r="B111" s="204"/>
      <c r="C111" s="205"/>
      <c r="D111" s="206"/>
      <c r="E111" s="207"/>
      <c r="F111" s="207"/>
      <c r="G111" s="18"/>
      <c r="H111" s="21"/>
      <c r="I111" s="21"/>
      <c r="J111" s="21"/>
      <c r="K111" s="21"/>
      <c r="L111" s="21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2.75" customHeight="1">
      <c r="A112" s="18"/>
      <c r="B112" s="206"/>
      <c r="C112" s="206"/>
      <c r="D112" s="205"/>
      <c r="E112" s="207"/>
      <c r="F112" s="207"/>
      <c r="G112" s="18"/>
      <c r="H112" s="21"/>
      <c r="I112" s="21"/>
      <c r="J112" s="21"/>
      <c r="K112" s="21"/>
      <c r="L112" s="21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2.75" customHeight="1">
      <c r="A113" s="18"/>
      <c r="B113" s="206"/>
      <c r="C113" s="206"/>
      <c r="D113" s="205"/>
      <c r="E113" s="208"/>
      <c r="F113" s="208"/>
      <c r="G113" s="18"/>
      <c r="H113" s="21"/>
      <c r="I113" s="21"/>
      <c r="J113" s="21"/>
      <c r="K113" s="21"/>
      <c r="L113" s="21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2.75" customHeight="1">
      <c r="A114" s="18"/>
      <c r="B114" s="206"/>
      <c r="C114" s="206"/>
      <c r="D114" s="205"/>
      <c r="E114" s="207"/>
      <c r="F114" s="207"/>
      <c r="G114" s="18"/>
      <c r="H114" s="21"/>
      <c r="I114" s="21"/>
      <c r="J114" s="21"/>
      <c r="K114" s="21"/>
      <c r="L114" s="21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2.75" customHeight="1">
      <c r="A115" s="18"/>
      <c r="B115" s="206"/>
      <c r="C115" s="206"/>
      <c r="D115" s="205"/>
      <c r="E115" s="20"/>
      <c r="F115" s="20"/>
      <c r="G115" s="18"/>
      <c r="H115" s="21"/>
      <c r="I115" s="21"/>
      <c r="J115" s="21"/>
      <c r="K115" s="21"/>
      <c r="L115" s="21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2.75" customHeight="1">
      <c r="A116" s="18"/>
      <c r="B116" s="206"/>
      <c r="C116" s="206"/>
      <c r="D116" s="205"/>
      <c r="E116" s="20"/>
      <c r="F116" s="20"/>
      <c r="G116" s="18"/>
      <c r="H116" s="21"/>
      <c r="I116" s="21"/>
      <c r="J116" s="21"/>
      <c r="K116" s="21"/>
      <c r="L116" s="21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2.75" customHeight="1">
      <c r="A117" s="18"/>
      <c r="B117" s="206"/>
      <c r="C117" s="206"/>
      <c r="D117" s="205"/>
      <c r="E117" s="20"/>
      <c r="F117" s="20"/>
      <c r="G117" s="18"/>
      <c r="H117" s="21"/>
      <c r="I117" s="21"/>
      <c r="J117" s="21"/>
      <c r="K117" s="21"/>
      <c r="L117" s="21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2.75" customHeight="1">
      <c r="A118" s="18"/>
      <c r="B118" s="206"/>
      <c r="C118" s="206"/>
      <c r="D118" s="205"/>
      <c r="E118" s="20"/>
      <c r="F118" s="20"/>
      <c r="G118" s="18"/>
      <c r="H118" s="21"/>
      <c r="I118" s="21"/>
      <c r="J118" s="21"/>
      <c r="K118" s="21"/>
      <c r="L118" s="21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2.75" customHeight="1">
      <c r="A119" s="18"/>
      <c r="B119" s="206"/>
      <c r="C119" s="206"/>
      <c r="D119" s="205"/>
      <c r="E119" s="20"/>
      <c r="F119" s="20"/>
      <c r="G119" s="18"/>
      <c r="H119" s="21"/>
      <c r="I119" s="21"/>
      <c r="J119" s="21"/>
      <c r="K119" s="21"/>
      <c r="L119" s="21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2.75" customHeight="1">
      <c r="A120" s="18"/>
      <c r="B120" s="206"/>
      <c r="C120" s="206"/>
      <c r="D120" s="205"/>
      <c r="E120" s="20"/>
      <c r="F120" s="20"/>
      <c r="G120" s="18"/>
      <c r="H120" s="21"/>
      <c r="I120" s="21"/>
      <c r="J120" s="21"/>
      <c r="K120" s="21"/>
      <c r="L120" s="21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2.75" customHeight="1">
      <c r="A121" s="18"/>
      <c r="B121" s="206"/>
      <c r="C121" s="206"/>
      <c r="D121" s="205"/>
      <c r="E121" s="20"/>
      <c r="F121" s="20"/>
      <c r="G121" s="18"/>
      <c r="H121" s="21"/>
      <c r="I121" s="21"/>
      <c r="J121" s="21"/>
      <c r="K121" s="21"/>
      <c r="L121" s="21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2.75" customHeight="1">
      <c r="A122" s="18"/>
      <c r="B122" s="206"/>
      <c r="C122" s="206"/>
      <c r="D122" s="205"/>
      <c r="E122" s="20"/>
      <c r="F122" s="20"/>
      <c r="G122" s="18"/>
      <c r="H122" s="21"/>
      <c r="I122" s="21"/>
      <c r="J122" s="21"/>
      <c r="K122" s="21"/>
      <c r="L122" s="21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2.75" customHeight="1">
      <c r="A123" s="18"/>
      <c r="B123" s="206"/>
      <c r="C123" s="206"/>
      <c r="D123" s="205"/>
      <c r="E123" s="20"/>
      <c r="F123" s="20"/>
      <c r="G123" s="18"/>
      <c r="H123" s="21"/>
      <c r="I123" s="21"/>
      <c r="J123" s="21"/>
      <c r="K123" s="21"/>
      <c r="L123" s="21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2.75" customHeight="1">
      <c r="A124" s="18"/>
      <c r="B124" s="206"/>
      <c r="C124" s="206"/>
      <c r="D124" s="205"/>
      <c r="E124" s="20"/>
      <c r="F124" s="20"/>
      <c r="G124" s="18"/>
      <c r="H124" s="21"/>
      <c r="I124" s="21"/>
      <c r="J124" s="21"/>
      <c r="K124" s="21"/>
      <c r="L124" s="21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2.75" customHeight="1">
      <c r="A125" s="18"/>
      <c r="B125" s="18"/>
      <c r="C125" s="18"/>
      <c r="D125" s="21"/>
      <c r="E125" s="20"/>
      <c r="F125" s="20"/>
      <c r="G125" s="18"/>
      <c r="H125" s="21"/>
      <c r="I125" s="21"/>
      <c r="J125" s="21"/>
      <c r="K125" s="21"/>
      <c r="L125" s="21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2.75" customHeight="1">
      <c r="A126" s="18"/>
      <c r="B126" s="18"/>
      <c r="C126" s="18"/>
      <c r="D126" s="21"/>
      <c r="E126" s="20"/>
      <c r="F126" s="20"/>
      <c r="G126" s="18"/>
      <c r="H126" s="21"/>
      <c r="I126" s="21"/>
      <c r="J126" s="21"/>
      <c r="K126" s="21"/>
      <c r="L126" s="21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2.75" customHeight="1">
      <c r="A127" s="18"/>
      <c r="B127" s="18"/>
      <c r="C127" s="18"/>
      <c r="D127" s="21"/>
      <c r="E127" s="20"/>
      <c r="F127" s="20"/>
      <c r="G127" s="18"/>
      <c r="H127" s="21"/>
      <c r="I127" s="21"/>
      <c r="J127" s="21"/>
      <c r="K127" s="21"/>
      <c r="L127" s="21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2.75" customHeight="1">
      <c r="A128" s="18"/>
      <c r="B128" s="18"/>
      <c r="C128" s="18"/>
      <c r="D128" s="21"/>
      <c r="E128" s="20"/>
      <c r="F128" s="20"/>
      <c r="G128" s="18"/>
      <c r="H128" s="21"/>
      <c r="I128" s="21"/>
      <c r="J128" s="21"/>
      <c r="K128" s="21"/>
      <c r="L128" s="21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2.75" customHeight="1">
      <c r="A129" s="18"/>
      <c r="B129" s="18"/>
      <c r="C129" s="18"/>
      <c r="D129" s="21"/>
      <c r="E129" s="20"/>
      <c r="F129" s="20"/>
      <c r="G129" s="18"/>
      <c r="H129" s="21"/>
      <c r="I129" s="21"/>
      <c r="J129" s="21"/>
      <c r="K129" s="21"/>
      <c r="L129" s="21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2.75" customHeight="1">
      <c r="A130" s="18"/>
      <c r="B130" s="18"/>
      <c r="C130" s="18"/>
      <c r="D130" s="21"/>
      <c r="E130" s="20"/>
      <c r="F130" s="20"/>
      <c r="G130" s="18"/>
      <c r="H130" s="21"/>
      <c r="I130" s="21"/>
      <c r="J130" s="21"/>
      <c r="K130" s="21"/>
      <c r="L130" s="21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2.75" customHeight="1">
      <c r="A131" s="18"/>
      <c r="B131" s="18"/>
      <c r="C131" s="18"/>
      <c r="D131" s="21"/>
      <c r="E131" s="20"/>
      <c r="F131" s="20"/>
      <c r="G131" s="18"/>
      <c r="H131" s="21"/>
      <c r="I131" s="21"/>
      <c r="J131" s="21"/>
      <c r="K131" s="21"/>
      <c r="L131" s="21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2.75" customHeight="1">
      <c r="A132" s="18"/>
      <c r="B132" s="18"/>
      <c r="C132" s="18"/>
      <c r="D132" s="21"/>
      <c r="E132" s="20"/>
      <c r="F132" s="20"/>
      <c r="G132" s="18"/>
      <c r="H132" s="21"/>
      <c r="I132" s="21"/>
      <c r="J132" s="21"/>
      <c r="K132" s="21"/>
      <c r="L132" s="21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2.75" customHeight="1">
      <c r="A133" s="18"/>
      <c r="B133" s="18"/>
      <c r="C133" s="18"/>
      <c r="D133" s="21"/>
      <c r="E133" s="20"/>
      <c r="F133" s="20"/>
      <c r="G133" s="18"/>
      <c r="H133" s="21"/>
      <c r="I133" s="21"/>
      <c r="J133" s="21"/>
      <c r="K133" s="21"/>
      <c r="L133" s="21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2.75" customHeight="1">
      <c r="A134" s="18"/>
      <c r="B134" s="18"/>
      <c r="C134" s="18"/>
      <c r="D134" s="21"/>
      <c r="E134" s="20"/>
      <c r="F134" s="20"/>
      <c r="G134" s="18"/>
      <c r="H134" s="21"/>
      <c r="I134" s="21"/>
      <c r="J134" s="21"/>
      <c r="K134" s="21"/>
      <c r="L134" s="21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2.75" customHeight="1">
      <c r="A135" s="18"/>
      <c r="B135" s="18"/>
      <c r="C135" s="18"/>
      <c r="D135" s="21"/>
      <c r="E135" s="20"/>
      <c r="F135" s="20"/>
      <c r="G135" s="18"/>
      <c r="H135" s="21"/>
      <c r="I135" s="21"/>
      <c r="J135" s="21"/>
      <c r="K135" s="21"/>
      <c r="L135" s="21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2.75" customHeight="1">
      <c r="A136" s="18"/>
      <c r="B136" s="18"/>
      <c r="C136" s="18"/>
      <c r="D136" s="21"/>
      <c r="E136" s="20"/>
      <c r="F136" s="20"/>
      <c r="G136" s="18"/>
      <c r="H136" s="21"/>
      <c r="I136" s="21"/>
      <c r="J136" s="21"/>
      <c r="K136" s="21"/>
      <c r="L136" s="21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2.75" customHeight="1">
      <c r="A137" s="18"/>
      <c r="B137" s="18"/>
      <c r="C137" s="18"/>
      <c r="D137" s="21"/>
      <c r="E137" s="20"/>
      <c r="F137" s="20"/>
      <c r="G137" s="18"/>
      <c r="H137" s="21"/>
      <c r="I137" s="21"/>
      <c r="J137" s="21"/>
      <c r="K137" s="21"/>
      <c r="L137" s="21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2.75" customHeight="1">
      <c r="A138" s="18"/>
      <c r="B138" s="18"/>
      <c r="C138" s="18"/>
      <c r="D138" s="21"/>
      <c r="E138" s="20"/>
      <c r="F138" s="20"/>
      <c r="G138" s="18"/>
      <c r="H138" s="21"/>
      <c r="I138" s="21"/>
      <c r="J138" s="21"/>
      <c r="K138" s="21"/>
      <c r="L138" s="21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2.75" customHeight="1">
      <c r="A139" s="18"/>
      <c r="B139" s="18"/>
      <c r="C139" s="18"/>
      <c r="D139" s="21"/>
      <c r="E139" s="20"/>
      <c r="F139" s="20"/>
      <c r="G139" s="18"/>
      <c r="H139" s="21"/>
      <c r="I139" s="21"/>
      <c r="J139" s="21"/>
      <c r="K139" s="21"/>
      <c r="L139" s="21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2.75" customHeight="1">
      <c r="A140" s="18"/>
      <c r="B140" s="18"/>
      <c r="C140" s="18"/>
      <c r="D140" s="21"/>
      <c r="E140" s="20"/>
      <c r="F140" s="20"/>
      <c r="G140" s="18"/>
      <c r="H140" s="21"/>
      <c r="I140" s="21"/>
      <c r="J140" s="21"/>
      <c r="K140" s="21"/>
      <c r="L140" s="21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2.75" customHeight="1">
      <c r="A141" s="18"/>
      <c r="B141" s="18"/>
      <c r="C141" s="18"/>
      <c r="D141" s="21"/>
      <c r="E141" s="20"/>
      <c r="F141" s="20"/>
      <c r="G141" s="18"/>
      <c r="H141" s="21"/>
      <c r="I141" s="21"/>
      <c r="J141" s="21"/>
      <c r="K141" s="21"/>
      <c r="L141" s="21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2.75" customHeight="1">
      <c r="A142" s="18"/>
      <c r="B142" s="18"/>
      <c r="C142" s="18"/>
      <c r="D142" s="21"/>
      <c r="E142" s="20"/>
      <c r="F142" s="20"/>
      <c r="G142" s="18"/>
      <c r="H142" s="21"/>
      <c r="I142" s="21"/>
      <c r="J142" s="21"/>
      <c r="K142" s="21"/>
      <c r="L142" s="21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2.75" customHeight="1">
      <c r="A143" s="18"/>
      <c r="B143" s="18"/>
      <c r="C143" s="18"/>
      <c r="D143" s="21"/>
      <c r="E143" s="20"/>
      <c r="F143" s="20"/>
      <c r="G143" s="18"/>
      <c r="H143" s="21"/>
      <c r="I143" s="21"/>
      <c r="J143" s="21"/>
      <c r="K143" s="21"/>
      <c r="L143" s="21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2.75" customHeight="1">
      <c r="A144" s="18"/>
      <c r="B144" s="18"/>
      <c r="C144" s="18"/>
      <c r="D144" s="21"/>
      <c r="E144" s="20"/>
      <c r="F144" s="20"/>
      <c r="G144" s="18"/>
      <c r="H144" s="21"/>
      <c r="I144" s="21"/>
      <c r="J144" s="21"/>
      <c r="K144" s="21"/>
      <c r="L144" s="21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2.75" customHeight="1">
      <c r="A145" s="18"/>
      <c r="B145" s="18"/>
      <c r="C145" s="18"/>
      <c r="D145" s="21"/>
      <c r="E145" s="20"/>
      <c r="F145" s="20"/>
      <c r="G145" s="18"/>
      <c r="H145" s="21"/>
      <c r="I145" s="21"/>
      <c r="J145" s="21"/>
      <c r="K145" s="21"/>
      <c r="L145" s="21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2.75" customHeight="1">
      <c r="A146" s="18"/>
      <c r="B146" s="18"/>
      <c r="C146" s="18"/>
      <c r="D146" s="21"/>
      <c r="E146" s="20"/>
      <c r="F146" s="20"/>
      <c r="G146" s="18"/>
      <c r="H146" s="21"/>
      <c r="I146" s="21"/>
      <c r="J146" s="21"/>
      <c r="K146" s="21"/>
      <c r="L146" s="21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2.75" customHeight="1">
      <c r="A147" s="18"/>
      <c r="B147" s="18"/>
      <c r="C147" s="18"/>
      <c r="D147" s="21"/>
      <c r="E147" s="20"/>
      <c r="F147" s="20"/>
      <c r="G147" s="18"/>
      <c r="H147" s="21"/>
      <c r="I147" s="21"/>
      <c r="J147" s="21"/>
      <c r="K147" s="21"/>
      <c r="L147" s="21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2.75" customHeight="1">
      <c r="A148" s="18"/>
      <c r="B148" s="18"/>
      <c r="C148" s="18"/>
      <c r="D148" s="21"/>
      <c r="E148" s="20"/>
      <c r="F148" s="20"/>
      <c r="G148" s="18"/>
      <c r="H148" s="21"/>
      <c r="I148" s="21"/>
      <c r="J148" s="21"/>
      <c r="K148" s="21"/>
      <c r="L148" s="21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2.75" customHeight="1">
      <c r="A149" s="18"/>
      <c r="B149" s="18"/>
      <c r="C149" s="18"/>
      <c r="D149" s="21"/>
      <c r="E149" s="20"/>
      <c r="F149" s="20"/>
      <c r="G149" s="18"/>
      <c r="H149" s="21"/>
      <c r="I149" s="21"/>
      <c r="J149" s="21"/>
      <c r="K149" s="21"/>
      <c r="L149" s="21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2.75" customHeight="1">
      <c r="A150" s="18"/>
      <c r="B150" s="18"/>
      <c r="C150" s="18"/>
      <c r="D150" s="21"/>
      <c r="E150" s="20"/>
      <c r="F150" s="20"/>
      <c r="G150" s="18"/>
      <c r="H150" s="21"/>
      <c r="I150" s="21"/>
      <c r="J150" s="21"/>
      <c r="K150" s="21"/>
      <c r="L150" s="21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2.75" customHeight="1">
      <c r="A151" s="18"/>
      <c r="B151" s="18"/>
      <c r="C151" s="18"/>
      <c r="D151" s="21"/>
      <c r="E151" s="20"/>
      <c r="F151" s="20"/>
      <c r="G151" s="18"/>
      <c r="H151" s="21"/>
      <c r="I151" s="21"/>
      <c r="J151" s="21"/>
      <c r="K151" s="21"/>
      <c r="L151" s="21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2.75" customHeight="1">
      <c r="A152" s="18"/>
      <c r="B152" s="18"/>
      <c r="C152" s="18"/>
      <c r="D152" s="21"/>
      <c r="E152" s="20"/>
      <c r="F152" s="20"/>
      <c r="G152" s="18"/>
      <c r="H152" s="21"/>
      <c r="I152" s="21"/>
      <c r="J152" s="21"/>
      <c r="K152" s="21"/>
      <c r="L152" s="21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2.75" customHeight="1">
      <c r="A153" s="18"/>
      <c r="B153" s="18"/>
      <c r="C153" s="18"/>
      <c r="D153" s="21"/>
      <c r="E153" s="20"/>
      <c r="F153" s="20"/>
      <c r="G153" s="18"/>
      <c r="H153" s="21"/>
      <c r="I153" s="21"/>
      <c r="J153" s="21"/>
      <c r="K153" s="21"/>
      <c r="L153" s="21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2.75" customHeight="1">
      <c r="A154" s="18"/>
      <c r="B154" s="18"/>
      <c r="C154" s="18"/>
      <c r="D154" s="21"/>
      <c r="E154" s="20"/>
      <c r="F154" s="20"/>
      <c r="G154" s="18"/>
      <c r="H154" s="21"/>
      <c r="I154" s="21"/>
      <c r="J154" s="21"/>
      <c r="K154" s="21"/>
      <c r="L154" s="21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2.75" customHeight="1">
      <c r="A155" s="18"/>
      <c r="B155" s="18"/>
      <c r="C155" s="18"/>
      <c r="D155" s="21"/>
      <c r="E155" s="20"/>
      <c r="F155" s="20"/>
      <c r="G155" s="18"/>
      <c r="H155" s="21"/>
      <c r="I155" s="21"/>
      <c r="J155" s="21"/>
      <c r="K155" s="21"/>
      <c r="L155" s="21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2.75" customHeight="1">
      <c r="A156" s="18"/>
      <c r="B156" s="18"/>
      <c r="C156" s="18"/>
      <c r="D156" s="21"/>
      <c r="E156" s="20"/>
      <c r="F156" s="20"/>
      <c r="G156" s="18"/>
      <c r="H156" s="21"/>
      <c r="I156" s="21"/>
      <c r="J156" s="21"/>
      <c r="K156" s="21"/>
      <c r="L156" s="21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2.75" customHeight="1">
      <c r="A157" s="18"/>
      <c r="B157" s="18"/>
      <c r="C157" s="18"/>
      <c r="D157" s="21"/>
      <c r="E157" s="20"/>
      <c r="F157" s="20"/>
      <c r="G157" s="18"/>
      <c r="H157" s="21"/>
      <c r="I157" s="21"/>
      <c r="J157" s="21"/>
      <c r="K157" s="21"/>
      <c r="L157" s="21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2.75" customHeight="1">
      <c r="A158" s="18"/>
      <c r="B158" s="18"/>
      <c r="C158" s="18"/>
      <c r="D158" s="21"/>
      <c r="E158" s="20"/>
      <c r="F158" s="20"/>
      <c r="G158" s="18"/>
      <c r="H158" s="21"/>
      <c r="I158" s="21"/>
      <c r="J158" s="21"/>
      <c r="K158" s="21"/>
      <c r="L158" s="21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2.75" customHeight="1">
      <c r="A159" s="18"/>
      <c r="B159" s="18"/>
      <c r="C159" s="18"/>
      <c r="D159" s="21"/>
      <c r="E159" s="20"/>
      <c r="F159" s="20"/>
      <c r="G159" s="18"/>
      <c r="H159" s="21"/>
      <c r="I159" s="21"/>
      <c r="J159" s="21"/>
      <c r="K159" s="21"/>
      <c r="L159" s="21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2.75" customHeight="1">
      <c r="A160" s="18"/>
      <c r="B160" s="18"/>
      <c r="C160" s="18"/>
      <c r="D160" s="21"/>
      <c r="E160" s="20"/>
      <c r="F160" s="20"/>
      <c r="G160" s="18"/>
      <c r="H160" s="21"/>
      <c r="I160" s="21"/>
      <c r="J160" s="21"/>
      <c r="K160" s="21"/>
      <c r="L160" s="21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2.75" customHeight="1">
      <c r="A161" s="18"/>
      <c r="B161" s="18"/>
      <c r="C161" s="18"/>
      <c r="D161" s="21"/>
      <c r="E161" s="20"/>
      <c r="F161" s="20"/>
      <c r="G161" s="18"/>
      <c r="H161" s="21"/>
      <c r="I161" s="21"/>
      <c r="J161" s="21"/>
      <c r="K161" s="21"/>
      <c r="L161" s="21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2.75" customHeight="1">
      <c r="A162" s="18"/>
      <c r="B162" s="18"/>
      <c r="C162" s="18"/>
      <c r="D162" s="21"/>
      <c r="E162" s="20"/>
      <c r="F162" s="20"/>
      <c r="G162" s="18"/>
      <c r="H162" s="21"/>
      <c r="I162" s="21"/>
      <c r="J162" s="21"/>
      <c r="K162" s="21"/>
      <c r="L162" s="21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2.75" customHeight="1">
      <c r="A163" s="18"/>
      <c r="B163" s="18"/>
      <c r="C163" s="18"/>
      <c r="D163" s="21"/>
      <c r="E163" s="20"/>
      <c r="F163" s="20"/>
      <c r="G163" s="18"/>
      <c r="H163" s="21"/>
      <c r="I163" s="21"/>
      <c r="J163" s="21"/>
      <c r="K163" s="21"/>
      <c r="L163" s="21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2.75" customHeight="1">
      <c r="A164" s="18"/>
      <c r="B164" s="18"/>
      <c r="C164" s="18"/>
      <c r="D164" s="21"/>
      <c r="E164" s="20"/>
      <c r="F164" s="20"/>
      <c r="G164" s="18"/>
      <c r="H164" s="21"/>
      <c r="I164" s="21"/>
      <c r="J164" s="21"/>
      <c r="K164" s="21"/>
      <c r="L164" s="21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2.75" customHeight="1">
      <c r="A165" s="18"/>
      <c r="B165" s="18"/>
      <c r="C165" s="18"/>
      <c r="D165" s="21"/>
      <c r="E165" s="20"/>
      <c r="F165" s="20"/>
      <c r="G165" s="18"/>
      <c r="H165" s="21"/>
      <c r="I165" s="21"/>
      <c r="J165" s="21"/>
      <c r="K165" s="21"/>
      <c r="L165" s="21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2.75" customHeight="1">
      <c r="A166" s="18"/>
      <c r="B166" s="18"/>
      <c r="C166" s="18"/>
      <c r="D166" s="21"/>
      <c r="E166" s="20"/>
      <c r="F166" s="20"/>
      <c r="G166" s="18"/>
      <c r="H166" s="21"/>
      <c r="I166" s="21"/>
      <c r="J166" s="21"/>
      <c r="K166" s="21"/>
      <c r="L166" s="21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2.75" customHeight="1">
      <c r="A167" s="18"/>
      <c r="B167" s="18"/>
      <c r="C167" s="18"/>
      <c r="D167" s="21"/>
      <c r="E167" s="20"/>
      <c r="F167" s="20"/>
      <c r="G167" s="18"/>
      <c r="H167" s="21"/>
      <c r="I167" s="21"/>
      <c r="J167" s="21"/>
      <c r="K167" s="21"/>
      <c r="L167" s="21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2.75" customHeight="1">
      <c r="A168" s="18"/>
      <c r="B168" s="18"/>
      <c r="C168" s="18"/>
      <c r="D168" s="21"/>
      <c r="E168" s="20"/>
      <c r="F168" s="20"/>
      <c r="G168" s="18"/>
      <c r="H168" s="21"/>
      <c r="I168" s="21"/>
      <c r="J168" s="21"/>
      <c r="K168" s="21"/>
      <c r="L168" s="21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2.75" customHeight="1">
      <c r="A169" s="18"/>
      <c r="B169" s="18"/>
      <c r="C169" s="18"/>
      <c r="D169" s="21"/>
      <c r="E169" s="20"/>
      <c r="F169" s="20"/>
      <c r="G169" s="18"/>
      <c r="H169" s="21"/>
      <c r="I169" s="21"/>
      <c r="J169" s="21"/>
      <c r="K169" s="21"/>
      <c r="L169" s="21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2.75" customHeight="1">
      <c r="A170" s="18"/>
      <c r="B170" s="18"/>
      <c r="C170" s="18"/>
      <c r="D170" s="21"/>
      <c r="E170" s="20"/>
      <c r="F170" s="20"/>
      <c r="G170" s="18"/>
      <c r="H170" s="21"/>
      <c r="I170" s="21"/>
      <c r="J170" s="21"/>
      <c r="K170" s="21"/>
      <c r="L170" s="21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2.75" customHeight="1">
      <c r="A171" s="18"/>
      <c r="B171" s="18"/>
      <c r="C171" s="18"/>
      <c r="D171" s="21"/>
      <c r="E171" s="20"/>
      <c r="F171" s="20"/>
      <c r="G171" s="18"/>
      <c r="H171" s="21"/>
      <c r="I171" s="21"/>
      <c r="J171" s="21"/>
      <c r="K171" s="21"/>
      <c r="L171" s="21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2.75" customHeight="1">
      <c r="A172" s="18"/>
      <c r="B172" s="18"/>
      <c r="C172" s="18"/>
      <c r="D172" s="21"/>
      <c r="E172" s="20"/>
      <c r="F172" s="20"/>
      <c r="G172" s="18"/>
      <c r="H172" s="21"/>
      <c r="I172" s="21"/>
      <c r="J172" s="21"/>
      <c r="K172" s="21"/>
      <c r="L172" s="21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2.75" customHeight="1">
      <c r="A173" s="18"/>
      <c r="B173" s="18"/>
      <c r="C173" s="18"/>
      <c r="D173" s="21"/>
      <c r="E173" s="20"/>
      <c r="F173" s="20"/>
      <c r="G173" s="18"/>
      <c r="H173" s="21"/>
      <c r="I173" s="21"/>
      <c r="J173" s="21"/>
      <c r="K173" s="21"/>
      <c r="L173" s="21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2.75" customHeight="1">
      <c r="A174" s="18"/>
      <c r="B174" s="18"/>
      <c r="C174" s="18"/>
      <c r="D174" s="21"/>
      <c r="E174" s="20"/>
      <c r="F174" s="20"/>
      <c r="G174" s="18"/>
      <c r="H174" s="21"/>
      <c r="I174" s="21"/>
      <c r="J174" s="21"/>
      <c r="K174" s="21"/>
      <c r="L174" s="21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2.75" customHeight="1">
      <c r="A175" s="18"/>
      <c r="B175" s="18"/>
      <c r="C175" s="18"/>
      <c r="D175" s="21"/>
      <c r="E175" s="20"/>
      <c r="F175" s="20"/>
      <c r="G175" s="18"/>
      <c r="H175" s="21"/>
      <c r="I175" s="21"/>
      <c r="J175" s="21"/>
      <c r="K175" s="21"/>
      <c r="L175" s="21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2.75" customHeight="1">
      <c r="A176" s="18"/>
      <c r="B176" s="18"/>
      <c r="C176" s="18"/>
      <c r="D176" s="21"/>
      <c r="E176" s="20"/>
      <c r="F176" s="20"/>
      <c r="G176" s="18"/>
      <c r="H176" s="21"/>
      <c r="I176" s="21"/>
      <c r="J176" s="21"/>
      <c r="K176" s="21"/>
      <c r="L176" s="21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2.75" customHeight="1">
      <c r="A177" s="18"/>
      <c r="B177" s="18"/>
      <c r="C177" s="18"/>
      <c r="D177" s="21"/>
      <c r="E177" s="20"/>
      <c r="F177" s="20"/>
      <c r="G177" s="18"/>
      <c r="H177" s="21"/>
      <c r="I177" s="21"/>
      <c r="J177" s="21"/>
      <c r="K177" s="21"/>
      <c r="L177" s="21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2.75" customHeight="1">
      <c r="A178" s="18"/>
      <c r="B178" s="18"/>
      <c r="C178" s="18"/>
      <c r="D178" s="21"/>
      <c r="E178" s="20"/>
      <c r="F178" s="20"/>
      <c r="G178" s="18"/>
      <c r="H178" s="21"/>
      <c r="I178" s="21"/>
      <c r="J178" s="21"/>
      <c r="K178" s="21"/>
      <c r="L178" s="21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2.75" customHeight="1">
      <c r="A179" s="18"/>
      <c r="B179" s="18"/>
      <c r="C179" s="18"/>
      <c r="D179" s="21"/>
      <c r="E179" s="20"/>
      <c r="F179" s="20"/>
      <c r="G179" s="18"/>
      <c r="H179" s="21"/>
      <c r="I179" s="21"/>
      <c r="J179" s="21"/>
      <c r="K179" s="21"/>
      <c r="L179" s="21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2.75" customHeight="1">
      <c r="A180" s="18"/>
      <c r="B180" s="18"/>
      <c r="C180" s="18"/>
      <c r="D180" s="21"/>
      <c r="E180" s="20"/>
      <c r="F180" s="20"/>
      <c r="G180" s="18"/>
      <c r="H180" s="21"/>
      <c r="I180" s="21"/>
      <c r="J180" s="21"/>
      <c r="K180" s="21"/>
      <c r="L180" s="21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2.75" customHeight="1">
      <c r="A181" s="18"/>
      <c r="B181" s="18"/>
      <c r="C181" s="18"/>
      <c r="D181" s="21"/>
      <c r="E181" s="20"/>
      <c r="F181" s="20"/>
      <c r="G181" s="18"/>
      <c r="H181" s="21"/>
      <c r="I181" s="21"/>
      <c r="J181" s="21"/>
      <c r="K181" s="21"/>
      <c r="L181" s="21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2.75" customHeight="1">
      <c r="A182" s="18"/>
      <c r="B182" s="18"/>
      <c r="C182" s="18"/>
      <c r="D182" s="21"/>
      <c r="E182" s="20"/>
      <c r="F182" s="20"/>
      <c r="G182" s="18"/>
      <c r="H182" s="21"/>
      <c r="I182" s="21"/>
      <c r="J182" s="21"/>
      <c r="K182" s="21"/>
      <c r="L182" s="21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2.75" customHeight="1">
      <c r="A183" s="18"/>
      <c r="B183" s="18"/>
      <c r="C183" s="18"/>
      <c r="D183" s="21"/>
      <c r="E183" s="20"/>
      <c r="F183" s="20"/>
      <c r="G183" s="18"/>
      <c r="H183" s="21"/>
      <c r="I183" s="21"/>
      <c r="J183" s="21"/>
      <c r="K183" s="21"/>
      <c r="L183" s="21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2.75" customHeight="1">
      <c r="A184" s="18"/>
      <c r="B184" s="18"/>
      <c r="C184" s="18"/>
      <c r="D184" s="21"/>
      <c r="E184" s="20"/>
      <c r="F184" s="20"/>
      <c r="G184" s="18"/>
      <c r="H184" s="21"/>
      <c r="I184" s="21"/>
      <c r="J184" s="21"/>
      <c r="K184" s="21"/>
      <c r="L184" s="21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2.75" customHeight="1">
      <c r="A185" s="18"/>
      <c r="B185" s="18"/>
      <c r="C185" s="18"/>
      <c r="D185" s="21"/>
      <c r="E185" s="20"/>
      <c r="F185" s="20"/>
      <c r="G185" s="18"/>
      <c r="H185" s="21"/>
      <c r="I185" s="21"/>
      <c r="J185" s="21"/>
      <c r="K185" s="21"/>
      <c r="L185" s="21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2.75" customHeight="1">
      <c r="A186" s="18"/>
      <c r="B186" s="18"/>
      <c r="C186" s="18"/>
      <c r="D186" s="21"/>
      <c r="E186" s="20"/>
      <c r="F186" s="20"/>
      <c r="G186" s="18"/>
      <c r="H186" s="21"/>
      <c r="I186" s="21"/>
      <c r="J186" s="21"/>
      <c r="K186" s="21"/>
      <c r="L186" s="21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2.75" customHeight="1">
      <c r="A187" s="18"/>
      <c r="B187" s="18"/>
      <c r="C187" s="18"/>
      <c r="D187" s="21"/>
      <c r="E187" s="20"/>
      <c r="F187" s="20"/>
      <c r="G187" s="18"/>
      <c r="H187" s="21"/>
      <c r="I187" s="21"/>
      <c r="J187" s="21"/>
      <c r="K187" s="21"/>
      <c r="L187" s="21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2.75" customHeight="1">
      <c r="A188" s="18"/>
      <c r="B188" s="18"/>
      <c r="C188" s="18"/>
      <c r="D188" s="21"/>
      <c r="E188" s="20"/>
      <c r="F188" s="20"/>
      <c r="G188" s="18"/>
      <c r="H188" s="21"/>
      <c r="I188" s="21"/>
      <c r="J188" s="21"/>
      <c r="K188" s="21"/>
      <c r="L188" s="21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2.75" customHeight="1">
      <c r="A189" s="18"/>
      <c r="B189" s="18"/>
      <c r="C189" s="18"/>
      <c r="D189" s="21"/>
      <c r="E189" s="20"/>
      <c r="F189" s="20"/>
      <c r="G189" s="18"/>
      <c r="H189" s="21"/>
      <c r="I189" s="21"/>
      <c r="J189" s="21"/>
      <c r="K189" s="21"/>
      <c r="L189" s="21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2.75" customHeight="1">
      <c r="A190" s="18"/>
      <c r="B190" s="18"/>
      <c r="C190" s="18"/>
      <c r="D190" s="21"/>
      <c r="E190" s="20"/>
      <c r="F190" s="20"/>
      <c r="G190" s="18"/>
      <c r="H190" s="21"/>
      <c r="I190" s="21"/>
      <c r="J190" s="21"/>
      <c r="K190" s="21"/>
      <c r="L190" s="21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2.75" customHeight="1">
      <c r="A191" s="18"/>
      <c r="B191" s="18"/>
      <c r="C191" s="18"/>
      <c r="D191" s="21"/>
      <c r="E191" s="20"/>
      <c r="F191" s="20"/>
      <c r="G191" s="18"/>
      <c r="H191" s="21"/>
      <c r="I191" s="21"/>
      <c r="J191" s="21"/>
      <c r="K191" s="21"/>
      <c r="L191" s="21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2.75" customHeight="1">
      <c r="A192" s="18"/>
      <c r="B192" s="18"/>
      <c r="C192" s="18"/>
      <c r="D192" s="21"/>
      <c r="E192" s="20"/>
      <c r="F192" s="20"/>
      <c r="G192" s="18"/>
      <c r="H192" s="21"/>
      <c r="I192" s="21"/>
      <c r="J192" s="21"/>
      <c r="K192" s="21"/>
      <c r="L192" s="21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2.75" customHeight="1">
      <c r="A193" s="18"/>
      <c r="B193" s="18"/>
      <c r="C193" s="18"/>
      <c r="D193" s="21"/>
      <c r="E193" s="20"/>
      <c r="F193" s="20"/>
      <c r="G193" s="18"/>
      <c r="H193" s="21"/>
      <c r="I193" s="21"/>
      <c r="J193" s="21"/>
      <c r="K193" s="21"/>
      <c r="L193" s="21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2.75" customHeight="1">
      <c r="A194" s="18"/>
      <c r="B194" s="18"/>
      <c r="C194" s="18"/>
      <c r="D194" s="21"/>
      <c r="E194" s="20"/>
      <c r="F194" s="20"/>
      <c r="G194" s="18"/>
      <c r="H194" s="21"/>
      <c r="I194" s="21"/>
      <c r="J194" s="21"/>
      <c r="K194" s="21"/>
      <c r="L194" s="21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2.75" customHeight="1">
      <c r="A195" s="18"/>
      <c r="B195" s="18"/>
      <c r="C195" s="18"/>
      <c r="D195" s="21"/>
      <c r="E195" s="20"/>
      <c r="F195" s="20"/>
      <c r="G195" s="18"/>
      <c r="H195" s="21"/>
      <c r="I195" s="21"/>
      <c r="J195" s="21"/>
      <c r="K195" s="21"/>
      <c r="L195" s="21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2.75" customHeight="1">
      <c r="A196" s="18"/>
      <c r="B196" s="18"/>
      <c r="C196" s="18"/>
      <c r="D196" s="21"/>
      <c r="E196" s="20"/>
      <c r="F196" s="20"/>
      <c r="G196" s="18"/>
      <c r="H196" s="21"/>
      <c r="I196" s="21"/>
      <c r="J196" s="21"/>
      <c r="K196" s="21"/>
      <c r="L196" s="21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2.75" customHeight="1">
      <c r="A197" s="18"/>
      <c r="B197" s="18"/>
      <c r="C197" s="18"/>
      <c r="D197" s="21"/>
      <c r="E197" s="20"/>
      <c r="F197" s="20"/>
      <c r="G197" s="18"/>
      <c r="H197" s="21"/>
      <c r="I197" s="21"/>
      <c r="J197" s="21"/>
      <c r="K197" s="21"/>
      <c r="L197" s="21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2.75" customHeight="1">
      <c r="A198" s="18"/>
      <c r="B198" s="18"/>
      <c r="C198" s="18"/>
      <c r="D198" s="21"/>
      <c r="E198" s="20"/>
      <c r="F198" s="20"/>
      <c r="G198" s="18"/>
      <c r="H198" s="21"/>
      <c r="I198" s="21"/>
      <c r="J198" s="21"/>
      <c r="K198" s="21"/>
      <c r="L198" s="21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2.75" customHeight="1">
      <c r="A199" s="18"/>
      <c r="B199" s="18"/>
      <c r="C199" s="18"/>
      <c r="D199" s="21"/>
      <c r="E199" s="20"/>
      <c r="F199" s="20"/>
      <c r="G199" s="18"/>
      <c r="H199" s="21"/>
      <c r="I199" s="21"/>
      <c r="J199" s="21"/>
      <c r="K199" s="21"/>
      <c r="L199" s="21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2.75" customHeight="1">
      <c r="A200" s="18"/>
      <c r="B200" s="18"/>
      <c r="C200" s="18"/>
      <c r="D200" s="21"/>
      <c r="E200" s="20"/>
      <c r="F200" s="20"/>
      <c r="G200" s="18"/>
      <c r="H200" s="21"/>
      <c r="I200" s="21"/>
      <c r="J200" s="21"/>
      <c r="K200" s="21"/>
      <c r="L200" s="21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2.75" customHeight="1">
      <c r="A201" s="18"/>
      <c r="B201" s="18"/>
      <c r="C201" s="18"/>
      <c r="D201" s="21"/>
      <c r="E201" s="20"/>
      <c r="F201" s="20"/>
      <c r="G201" s="18"/>
      <c r="H201" s="21"/>
      <c r="I201" s="21"/>
      <c r="J201" s="21"/>
      <c r="K201" s="21"/>
      <c r="L201" s="21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2.75" customHeight="1">
      <c r="A202" s="18"/>
      <c r="B202" s="18"/>
      <c r="C202" s="18"/>
      <c r="D202" s="21"/>
      <c r="E202" s="20"/>
      <c r="F202" s="20"/>
      <c r="G202" s="18"/>
      <c r="H202" s="21"/>
      <c r="I202" s="21"/>
      <c r="J202" s="21"/>
      <c r="K202" s="21"/>
      <c r="L202" s="21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2.75" customHeight="1">
      <c r="A203" s="18"/>
      <c r="B203" s="18"/>
      <c r="C203" s="18"/>
      <c r="D203" s="21"/>
      <c r="E203" s="20"/>
      <c r="F203" s="20"/>
      <c r="G203" s="18"/>
      <c r="H203" s="21"/>
      <c r="I203" s="21"/>
      <c r="J203" s="21"/>
      <c r="K203" s="21"/>
      <c r="L203" s="21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2.75" customHeight="1">
      <c r="A204" s="18"/>
      <c r="B204" s="18"/>
      <c r="C204" s="18"/>
      <c r="D204" s="21"/>
      <c r="E204" s="20"/>
      <c r="F204" s="20"/>
      <c r="G204" s="18"/>
      <c r="H204" s="21"/>
      <c r="I204" s="21"/>
      <c r="J204" s="21"/>
      <c r="K204" s="21"/>
      <c r="L204" s="21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2.75" customHeight="1">
      <c r="A205" s="18"/>
      <c r="B205" s="18"/>
      <c r="C205" s="18"/>
      <c r="D205" s="21"/>
      <c r="E205" s="20"/>
      <c r="F205" s="20"/>
      <c r="G205" s="18"/>
      <c r="H205" s="21"/>
      <c r="I205" s="21"/>
      <c r="J205" s="21"/>
      <c r="K205" s="21"/>
      <c r="L205" s="21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2.75" customHeight="1">
      <c r="A206" s="18"/>
      <c r="B206" s="18"/>
      <c r="C206" s="18"/>
      <c r="D206" s="21"/>
      <c r="E206" s="20"/>
      <c r="F206" s="20"/>
      <c r="G206" s="18"/>
      <c r="H206" s="21"/>
      <c r="I206" s="21"/>
      <c r="J206" s="21"/>
      <c r="K206" s="21"/>
      <c r="L206" s="21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2.75" customHeight="1">
      <c r="A207" s="18"/>
      <c r="B207" s="18"/>
      <c r="C207" s="18"/>
      <c r="D207" s="21"/>
      <c r="E207" s="20"/>
      <c r="F207" s="20"/>
      <c r="G207" s="18"/>
      <c r="H207" s="21"/>
      <c r="I207" s="21"/>
      <c r="J207" s="21"/>
      <c r="K207" s="21"/>
      <c r="L207" s="21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2.75" customHeight="1">
      <c r="A208" s="18"/>
      <c r="B208" s="18"/>
      <c r="C208" s="18"/>
      <c r="D208" s="21"/>
      <c r="E208" s="20"/>
      <c r="F208" s="20"/>
      <c r="G208" s="18"/>
      <c r="H208" s="21"/>
      <c r="I208" s="21"/>
      <c r="J208" s="21"/>
      <c r="K208" s="21"/>
      <c r="L208" s="21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2.75" customHeight="1">
      <c r="A209" s="18"/>
      <c r="B209" s="18"/>
      <c r="C209" s="18"/>
      <c r="D209" s="21"/>
      <c r="E209" s="20"/>
      <c r="F209" s="20"/>
      <c r="G209" s="18"/>
      <c r="H209" s="21"/>
      <c r="I209" s="21"/>
      <c r="J209" s="21"/>
      <c r="K209" s="21"/>
      <c r="L209" s="21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2.75" customHeight="1">
      <c r="A210" s="18"/>
      <c r="B210" s="18"/>
      <c r="C210" s="18"/>
      <c r="D210" s="21"/>
      <c r="E210" s="20"/>
      <c r="F210" s="20"/>
      <c r="G210" s="18"/>
      <c r="H210" s="21"/>
      <c r="I210" s="21"/>
      <c r="J210" s="21"/>
      <c r="K210" s="21"/>
      <c r="L210" s="21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2.75" customHeight="1">
      <c r="A211" s="18"/>
      <c r="B211" s="18"/>
      <c r="C211" s="18"/>
      <c r="D211" s="21"/>
      <c r="E211" s="20"/>
      <c r="F211" s="20"/>
      <c r="G211" s="18"/>
      <c r="H211" s="21"/>
      <c r="I211" s="21"/>
      <c r="J211" s="21"/>
      <c r="K211" s="21"/>
      <c r="L211" s="21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2.75" customHeight="1">
      <c r="A212" s="18"/>
      <c r="B212" s="18"/>
      <c r="C212" s="18"/>
      <c r="D212" s="21"/>
      <c r="E212" s="20"/>
      <c r="F212" s="20"/>
      <c r="G212" s="18"/>
      <c r="H212" s="21"/>
      <c r="I212" s="21"/>
      <c r="J212" s="21"/>
      <c r="K212" s="21"/>
      <c r="L212" s="21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2.75" customHeight="1">
      <c r="A213" s="18"/>
      <c r="B213" s="18"/>
      <c r="C213" s="18"/>
      <c r="D213" s="21"/>
      <c r="E213" s="20"/>
      <c r="F213" s="20"/>
      <c r="G213" s="18"/>
      <c r="H213" s="21"/>
      <c r="I213" s="21"/>
      <c r="J213" s="21"/>
      <c r="K213" s="21"/>
      <c r="L213" s="21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2.75" customHeight="1">
      <c r="A214" s="18"/>
      <c r="B214" s="18"/>
      <c r="C214" s="18"/>
      <c r="D214" s="21"/>
      <c r="E214" s="20"/>
      <c r="F214" s="20"/>
      <c r="G214" s="18"/>
      <c r="H214" s="21"/>
      <c r="I214" s="21"/>
      <c r="J214" s="21"/>
      <c r="K214" s="21"/>
      <c r="L214" s="21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2.75" customHeight="1">
      <c r="A215" s="18"/>
      <c r="B215" s="18"/>
      <c r="C215" s="18"/>
      <c r="D215" s="21"/>
      <c r="E215" s="20"/>
      <c r="F215" s="20"/>
      <c r="G215" s="18"/>
      <c r="H215" s="21"/>
      <c r="I215" s="21"/>
      <c r="J215" s="21"/>
      <c r="K215" s="21"/>
      <c r="L215" s="21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2.75" customHeight="1">
      <c r="A216" s="18"/>
      <c r="B216" s="18"/>
      <c r="C216" s="18"/>
      <c r="D216" s="21"/>
      <c r="E216" s="20"/>
      <c r="F216" s="20"/>
      <c r="G216" s="18"/>
      <c r="H216" s="21"/>
      <c r="I216" s="21"/>
      <c r="J216" s="21"/>
      <c r="K216" s="21"/>
      <c r="L216" s="21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2.75" customHeight="1">
      <c r="A217" s="18"/>
      <c r="B217" s="18"/>
      <c r="C217" s="18"/>
      <c r="D217" s="21"/>
      <c r="E217" s="20"/>
      <c r="F217" s="20"/>
      <c r="G217" s="18"/>
      <c r="H217" s="21"/>
      <c r="I217" s="21"/>
      <c r="J217" s="21"/>
      <c r="K217" s="21"/>
      <c r="L217" s="21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2.75" customHeight="1">
      <c r="A218" s="18"/>
      <c r="B218" s="18"/>
      <c r="C218" s="18"/>
      <c r="D218" s="21"/>
      <c r="E218" s="20"/>
      <c r="F218" s="20"/>
      <c r="G218" s="18"/>
      <c r="H218" s="21"/>
      <c r="I218" s="21"/>
      <c r="J218" s="21"/>
      <c r="K218" s="21"/>
      <c r="L218" s="21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2.75" customHeight="1">
      <c r="A219" s="18"/>
      <c r="B219" s="18"/>
      <c r="C219" s="18"/>
      <c r="D219" s="21"/>
      <c r="E219" s="20"/>
      <c r="F219" s="20"/>
      <c r="G219" s="18"/>
      <c r="H219" s="21"/>
      <c r="I219" s="21"/>
      <c r="J219" s="21"/>
      <c r="K219" s="21"/>
      <c r="L219" s="21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2.75" customHeight="1">
      <c r="A220" s="18"/>
      <c r="B220" s="18"/>
      <c r="C220" s="18"/>
      <c r="D220" s="21"/>
      <c r="E220" s="20"/>
      <c r="F220" s="20"/>
      <c r="G220" s="18"/>
      <c r="H220" s="21"/>
      <c r="I220" s="21"/>
      <c r="J220" s="21"/>
      <c r="K220" s="21"/>
      <c r="L220" s="21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2.75" customHeight="1">
      <c r="A221" s="18"/>
      <c r="B221" s="18"/>
      <c r="C221" s="18"/>
      <c r="D221" s="21"/>
      <c r="E221" s="20"/>
      <c r="F221" s="20"/>
      <c r="G221" s="18"/>
      <c r="H221" s="21"/>
      <c r="I221" s="21"/>
      <c r="J221" s="21"/>
      <c r="K221" s="21"/>
      <c r="L221" s="21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2.75" customHeight="1">
      <c r="A222" s="18"/>
      <c r="B222" s="18"/>
      <c r="C222" s="18"/>
      <c r="D222" s="21"/>
      <c r="E222" s="20"/>
      <c r="F222" s="20"/>
      <c r="G222" s="18"/>
      <c r="H222" s="21"/>
      <c r="I222" s="21"/>
      <c r="J222" s="21"/>
      <c r="K222" s="21"/>
      <c r="L222" s="21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2.75" customHeight="1">
      <c r="A223" s="18"/>
      <c r="B223" s="18"/>
      <c r="C223" s="18"/>
      <c r="D223" s="21"/>
      <c r="E223" s="20"/>
      <c r="F223" s="20"/>
      <c r="G223" s="18"/>
      <c r="H223" s="21"/>
      <c r="I223" s="21"/>
      <c r="J223" s="21"/>
      <c r="K223" s="21"/>
      <c r="L223" s="21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2.75" customHeight="1">
      <c r="A224" s="18"/>
      <c r="B224" s="18"/>
      <c r="C224" s="18"/>
      <c r="D224" s="21"/>
      <c r="E224" s="20"/>
      <c r="F224" s="20"/>
      <c r="G224" s="18"/>
      <c r="H224" s="21"/>
      <c r="I224" s="21"/>
      <c r="J224" s="21"/>
      <c r="K224" s="21"/>
      <c r="L224" s="21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2.75" customHeight="1">
      <c r="A225" s="18"/>
      <c r="B225" s="18"/>
      <c r="C225" s="18"/>
      <c r="D225" s="21"/>
      <c r="E225" s="20"/>
      <c r="F225" s="20"/>
      <c r="G225" s="18"/>
      <c r="H225" s="21"/>
      <c r="I225" s="21"/>
      <c r="J225" s="21"/>
      <c r="K225" s="21"/>
      <c r="L225" s="21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2.75" customHeight="1">
      <c r="A226" s="18"/>
      <c r="B226" s="18"/>
      <c r="C226" s="18"/>
      <c r="D226" s="21"/>
      <c r="E226" s="20"/>
      <c r="F226" s="20"/>
      <c r="G226" s="18"/>
      <c r="H226" s="21"/>
      <c r="I226" s="21"/>
      <c r="J226" s="21"/>
      <c r="K226" s="21"/>
      <c r="L226" s="21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2.75" customHeight="1">
      <c r="A227" s="18"/>
      <c r="B227" s="18"/>
      <c r="C227" s="18"/>
      <c r="D227" s="21"/>
      <c r="E227" s="20"/>
      <c r="F227" s="20"/>
      <c r="G227" s="18"/>
      <c r="H227" s="21"/>
      <c r="I227" s="21"/>
      <c r="J227" s="21"/>
      <c r="K227" s="21"/>
      <c r="L227" s="21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2.75" customHeight="1">
      <c r="A228" s="18"/>
      <c r="B228" s="18"/>
      <c r="C228" s="18"/>
      <c r="D228" s="21"/>
      <c r="E228" s="20"/>
      <c r="F228" s="20"/>
      <c r="G228" s="18"/>
      <c r="H228" s="21"/>
      <c r="I228" s="21"/>
      <c r="J228" s="21"/>
      <c r="K228" s="21"/>
      <c r="L228" s="21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2.75" customHeight="1">
      <c r="A229" s="18"/>
      <c r="B229" s="18"/>
      <c r="C229" s="18"/>
      <c r="D229" s="21"/>
      <c r="E229" s="20"/>
      <c r="F229" s="20"/>
      <c r="G229" s="18"/>
      <c r="H229" s="21"/>
      <c r="I229" s="21"/>
      <c r="J229" s="21"/>
      <c r="K229" s="21"/>
      <c r="L229" s="21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2.75" customHeight="1">
      <c r="A230" s="18"/>
      <c r="B230" s="18"/>
      <c r="C230" s="18"/>
      <c r="D230" s="21"/>
      <c r="E230" s="20"/>
      <c r="F230" s="20"/>
      <c r="G230" s="18"/>
      <c r="H230" s="21"/>
      <c r="I230" s="21"/>
      <c r="J230" s="21"/>
      <c r="K230" s="21"/>
      <c r="L230" s="21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2.75" customHeight="1">
      <c r="A231" s="18"/>
      <c r="B231" s="18"/>
      <c r="C231" s="18"/>
      <c r="D231" s="21"/>
      <c r="E231" s="20"/>
      <c r="F231" s="20"/>
      <c r="G231" s="18"/>
      <c r="H231" s="21"/>
      <c r="I231" s="21"/>
      <c r="J231" s="21"/>
      <c r="K231" s="21"/>
      <c r="L231" s="21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2.75" customHeight="1">
      <c r="A232" s="18"/>
      <c r="B232" s="18"/>
      <c r="C232" s="18"/>
      <c r="D232" s="21"/>
      <c r="E232" s="20"/>
      <c r="F232" s="20"/>
      <c r="G232" s="18"/>
      <c r="H232" s="21"/>
      <c r="I232" s="21"/>
      <c r="J232" s="21"/>
      <c r="K232" s="21"/>
      <c r="L232" s="21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2.75" customHeight="1">
      <c r="A233" s="18"/>
      <c r="B233" s="18"/>
      <c r="C233" s="18"/>
      <c r="D233" s="21"/>
      <c r="E233" s="20"/>
      <c r="F233" s="20"/>
      <c r="G233" s="18"/>
      <c r="H233" s="21"/>
      <c r="I233" s="21"/>
      <c r="J233" s="21"/>
      <c r="K233" s="21"/>
      <c r="L233" s="21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2.75" customHeight="1">
      <c r="A234" s="18"/>
      <c r="B234" s="18"/>
      <c r="C234" s="18"/>
      <c r="D234" s="21"/>
      <c r="E234" s="20"/>
      <c r="F234" s="20"/>
      <c r="G234" s="18"/>
      <c r="H234" s="21"/>
      <c r="I234" s="21"/>
      <c r="J234" s="21"/>
      <c r="K234" s="21"/>
      <c r="L234" s="21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2.75" customHeight="1">
      <c r="A235" s="18"/>
      <c r="B235" s="18"/>
      <c r="C235" s="18"/>
      <c r="D235" s="21"/>
      <c r="E235" s="20"/>
      <c r="F235" s="20"/>
      <c r="G235" s="18"/>
      <c r="H235" s="21"/>
      <c r="I235" s="21"/>
      <c r="J235" s="21"/>
      <c r="K235" s="21"/>
      <c r="L235" s="21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2.75" customHeight="1">
      <c r="A236" s="18"/>
      <c r="B236" s="18"/>
      <c r="C236" s="18"/>
      <c r="D236" s="21"/>
      <c r="E236" s="20"/>
      <c r="F236" s="20"/>
      <c r="G236" s="18"/>
      <c r="H236" s="21"/>
      <c r="I236" s="21"/>
      <c r="J236" s="21"/>
      <c r="K236" s="21"/>
      <c r="L236" s="21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2.75" customHeight="1">
      <c r="A237" s="18"/>
      <c r="B237" s="18"/>
      <c r="C237" s="18"/>
      <c r="D237" s="21"/>
      <c r="E237" s="20"/>
      <c r="F237" s="20"/>
      <c r="G237" s="18"/>
      <c r="H237" s="21"/>
      <c r="I237" s="21"/>
      <c r="J237" s="21"/>
      <c r="K237" s="21"/>
      <c r="L237" s="21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2.75" customHeight="1">
      <c r="A238" s="18"/>
      <c r="B238" s="18"/>
      <c r="C238" s="18"/>
      <c r="D238" s="21"/>
      <c r="E238" s="20"/>
      <c r="F238" s="20"/>
      <c r="G238" s="18"/>
      <c r="H238" s="21"/>
      <c r="I238" s="21"/>
      <c r="J238" s="21"/>
      <c r="K238" s="21"/>
      <c r="L238" s="21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2.75" customHeight="1">
      <c r="A239" s="18"/>
      <c r="B239" s="18"/>
      <c r="C239" s="18"/>
      <c r="D239" s="21"/>
      <c r="E239" s="20"/>
      <c r="F239" s="20"/>
      <c r="G239" s="18"/>
      <c r="H239" s="21"/>
      <c r="I239" s="21"/>
      <c r="J239" s="21"/>
      <c r="K239" s="21"/>
      <c r="L239" s="21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2.75" customHeight="1">
      <c r="A240" s="18"/>
      <c r="B240" s="18"/>
      <c r="C240" s="18"/>
      <c r="D240" s="21"/>
      <c r="E240" s="20"/>
      <c r="F240" s="20"/>
      <c r="G240" s="18"/>
      <c r="H240" s="21"/>
      <c r="I240" s="21"/>
      <c r="J240" s="21"/>
      <c r="K240" s="21"/>
      <c r="L240" s="21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2.75" customHeight="1">
      <c r="A241" s="18"/>
      <c r="B241" s="18"/>
      <c r="C241" s="18"/>
      <c r="D241" s="21"/>
      <c r="E241" s="20"/>
      <c r="F241" s="20"/>
      <c r="G241" s="18"/>
      <c r="H241" s="21"/>
      <c r="I241" s="21"/>
      <c r="J241" s="21"/>
      <c r="K241" s="21"/>
      <c r="L241" s="21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2.75" customHeight="1">
      <c r="A242" s="18"/>
      <c r="B242" s="18"/>
      <c r="C242" s="18"/>
      <c r="D242" s="21"/>
      <c r="E242" s="20"/>
      <c r="F242" s="20"/>
      <c r="G242" s="18"/>
      <c r="H242" s="21"/>
      <c r="I242" s="21"/>
      <c r="J242" s="21"/>
      <c r="K242" s="21"/>
      <c r="L242" s="21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2.75" customHeight="1">
      <c r="A243" s="18"/>
      <c r="B243" s="18"/>
      <c r="C243" s="18"/>
      <c r="D243" s="21"/>
      <c r="E243" s="20"/>
      <c r="F243" s="20"/>
      <c r="G243" s="18"/>
      <c r="H243" s="21"/>
      <c r="I243" s="21"/>
      <c r="J243" s="21"/>
      <c r="K243" s="21"/>
      <c r="L243" s="21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2.75" customHeight="1">
      <c r="A244" s="18"/>
      <c r="B244" s="18"/>
      <c r="C244" s="18"/>
      <c r="D244" s="21"/>
      <c r="E244" s="20"/>
      <c r="F244" s="20"/>
      <c r="G244" s="18"/>
      <c r="H244" s="21"/>
      <c r="I244" s="21"/>
      <c r="J244" s="21"/>
      <c r="K244" s="21"/>
      <c r="L244" s="21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2.75" customHeight="1">
      <c r="A245" s="18"/>
      <c r="B245" s="18"/>
      <c r="C245" s="18"/>
      <c r="D245" s="21"/>
      <c r="E245" s="20"/>
      <c r="F245" s="20"/>
      <c r="G245" s="18"/>
      <c r="H245" s="21"/>
      <c r="I245" s="21"/>
      <c r="J245" s="21"/>
      <c r="K245" s="21"/>
      <c r="L245" s="21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2.75" customHeight="1">
      <c r="A246" s="18"/>
      <c r="B246" s="18"/>
      <c r="C246" s="18"/>
      <c r="D246" s="21"/>
      <c r="E246" s="20"/>
      <c r="F246" s="20"/>
      <c r="G246" s="18"/>
      <c r="H246" s="21"/>
      <c r="I246" s="21"/>
      <c r="J246" s="21"/>
      <c r="K246" s="21"/>
      <c r="L246" s="21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2.75" customHeight="1">
      <c r="A247" s="18"/>
      <c r="B247" s="18"/>
      <c r="C247" s="18"/>
      <c r="D247" s="21"/>
      <c r="E247" s="20"/>
      <c r="F247" s="20"/>
      <c r="G247" s="18"/>
      <c r="H247" s="21"/>
      <c r="I247" s="21"/>
      <c r="J247" s="21"/>
      <c r="K247" s="21"/>
      <c r="L247" s="21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2.75" customHeight="1">
      <c r="A248" s="18"/>
      <c r="B248" s="18"/>
      <c r="C248" s="18"/>
      <c r="D248" s="21"/>
      <c r="E248" s="20"/>
      <c r="F248" s="20"/>
      <c r="G248" s="18"/>
      <c r="H248" s="21"/>
      <c r="I248" s="21"/>
      <c r="J248" s="21"/>
      <c r="K248" s="21"/>
      <c r="L248" s="21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2.75" customHeight="1">
      <c r="A249" s="18"/>
      <c r="B249" s="18"/>
      <c r="C249" s="18"/>
      <c r="D249" s="21"/>
      <c r="E249" s="20"/>
      <c r="F249" s="20"/>
      <c r="G249" s="18"/>
      <c r="H249" s="21"/>
      <c r="I249" s="21"/>
      <c r="J249" s="21"/>
      <c r="K249" s="21"/>
      <c r="L249" s="21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2.75" customHeight="1">
      <c r="A250" s="18"/>
      <c r="B250" s="18"/>
      <c r="C250" s="18"/>
      <c r="D250" s="21"/>
      <c r="E250" s="20"/>
      <c r="F250" s="20"/>
      <c r="G250" s="18"/>
      <c r="H250" s="21"/>
      <c r="I250" s="21"/>
      <c r="J250" s="21"/>
      <c r="K250" s="21"/>
      <c r="L250" s="21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2.75" customHeight="1">
      <c r="A251" s="18"/>
      <c r="B251" s="18"/>
      <c r="C251" s="18"/>
      <c r="D251" s="21"/>
      <c r="E251" s="20"/>
      <c r="F251" s="20"/>
      <c r="G251" s="18"/>
      <c r="H251" s="21"/>
      <c r="I251" s="21"/>
      <c r="J251" s="21"/>
      <c r="K251" s="21"/>
      <c r="L251" s="21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2.75" customHeight="1">
      <c r="A252" s="18"/>
      <c r="B252" s="18"/>
      <c r="C252" s="18"/>
      <c r="D252" s="21"/>
      <c r="E252" s="20"/>
      <c r="F252" s="20"/>
      <c r="G252" s="18"/>
      <c r="H252" s="21"/>
      <c r="I252" s="21"/>
      <c r="J252" s="21"/>
      <c r="K252" s="21"/>
      <c r="L252" s="21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2.75" customHeight="1">
      <c r="A253" s="18"/>
      <c r="B253" s="18"/>
      <c r="C253" s="18"/>
      <c r="D253" s="21"/>
      <c r="E253" s="20"/>
      <c r="F253" s="20"/>
      <c r="G253" s="18"/>
      <c r="H253" s="21"/>
      <c r="I253" s="21"/>
      <c r="J253" s="21"/>
      <c r="K253" s="21"/>
      <c r="L253" s="21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2.75" customHeight="1">
      <c r="A254" s="18"/>
      <c r="B254" s="18"/>
      <c r="C254" s="18"/>
      <c r="D254" s="21"/>
      <c r="E254" s="20"/>
      <c r="F254" s="20"/>
      <c r="G254" s="18"/>
      <c r="H254" s="21"/>
      <c r="I254" s="21"/>
      <c r="J254" s="21"/>
      <c r="K254" s="21"/>
      <c r="L254" s="21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2.75" customHeight="1">
      <c r="A255" s="18"/>
      <c r="B255" s="18"/>
      <c r="C255" s="18"/>
      <c r="D255" s="21"/>
      <c r="E255" s="20"/>
      <c r="F255" s="20"/>
      <c r="G255" s="18"/>
      <c r="H255" s="21"/>
      <c r="I255" s="21"/>
      <c r="J255" s="21"/>
      <c r="K255" s="21"/>
      <c r="L255" s="21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2.75" customHeight="1">
      <c r="A256" s="18"/>
      <c r="B256" s="18"/>
      <c r="C256" s="18"/>
      <c r="D256" s="21"/>
      <c r="E256" s="20"/>
      <c r="F256" s="20"/>
      <c r="G256" s="18"/>
      <c r="H256" s="21"/>
      <c r="I256" s="21"/>
      <c r="J256" s="21"/>
      <c r="K256" s="21"/>
      <c r="L256" s="21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2.75" customHeight="1">
      <c r="A257" s="18"/>
      <c r="B257" s="18"/>
      <c r="C257" s="18"/>
      <c r="D257" s="21"/>
      <c r="E257" s="20"/>
      <c r="F257" s="20"/>
      <c r="G257" s="18"/>
      <c r="H257" s="21"/>
      <c r="I257" s="21"/>
      <c r="J257" s="21"/>
      <c r="K257" s="21"/>
      <c r="L257" s="21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2.75" customHeight="1">
      <c r="A258" s="18"/>
      <c r="B258" s="18"/>
      <c r="C258" s="18"/>
      <c r="D258" s="21"/>
      <c r="E258" s="20"/>
      <c r="F258" s="20"/>
      <c r="G258" s="18"/>
      <c r="H258" s="21"/>
      <c r="I258" s="21"/>
      <c r="J258" s="21"/>
      <c r="K258" s="21"/>
      <c r="L258" s="21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2.75" customHeight="1">
      <c r="A259" s="18"/>
      <c r="B259" s="18"/>
      <c r="C259" s="18"/>
      <c r="D259" s="21"/>
      <c r="E259" s="20"/>
      <c r="F259" s="20"/>
      <c r="G259" s="18"/>
      <c r="H259" s="21"/>
      <c r="I259" s="21"/>
      <c r="J259" s="21"/>
      <c r="K259" s="21"/>
      <c r="L259" s="21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2.75" customHeight="1">
      <c r="A260" s="18"/>
      <c r="B260" s="18"/>
      <c r="C260" s="18"/>
      <c r="D260" s="21"/>
      <c r="E260" s="20"/>
      <c r="F260" s="20"/>
      <c r="G260" s="18"/>
      <c r="H260" s="21"/>
      <c r="I260" s="21"/>
      <c r="J260" s="21"/>
      <c r="K260" s="21"/>
      <c r="L260" s="21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2.75" customHeight="1">
      <c r="A261" s="18"/>
      <c r="B261" s="18"/>
      <c r="C261" s="18"/>
      <c r="D261" s="21"/>
      <c r="E261" s="20"/>
      <c r="F261" s="20"/>
      <c r="G261" s="18"/>
      <c r="H261" s="21"/>
      <c r="I261" s="21"/>
      <c r="J261" s="21"/>
      <c r="K261" s="21"/>
      <c r="L261" s="21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2.75" customHeight="1">
      <c r="A262" s="18"/>
      <c r="B262" s="18"/>
      <c r="C262" s="18"/>
      <c r="D262" s="21"/>
      <c r="E262" s="20"/>
      <c r="F262" s="20"/>
      <c r="G262" s="18"/>
      <c r="H262" s="21"/>
      <c r="I262" s="21"/>
      <c r="J262" s="21"/>
      <c r="K262" s="21"/>
      <c r="L262" s="21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2.75" customHeight="1">
      <c r="A263" s="18"/>
      <c r="B263" s="18"/>
      <c r="C263" s="18"/>
      <c r="D263" s="21"/>
      <c r="E263" s="20"/>
      <c r="F263" s="20"/>
      <c r="G263" s="18"/>
      <c r="H263" s="21"/>
      <c r="I263" s="21"/>
      <c r="J263" s="21"/>
      <c r="K263" s="21"/>
      <c r="L263" s="21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2.75" customHeight="1">
      <c r="A264" s="18"/>
      <c r="B264" s="18"/>
      <c r="C264" s="18"/>
      <c r="D264" s="21"/>
      <c r="E264" s="20"/>
      <c r="F264" s="20"/>
      <c r="G264" s="18"/>
      <c r="H264" s="21"/>
      <c r="I264" s="21"/>
      <c r="J264" s="21"/>
      <c r="K264" s="21"/>
      <c r="L264" s="21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2.75" customHeight="1">
      <c r="A265" s="18"/>
      <c r="B265" s="18"/>
      <c r="C265" s="18"/>
      <c r="D265" s="21"/>
      <c r="E265" s="20"/>
      <c r="F265" s="20"/>
      <c r="G265" s="18"/>
      <c r="H265" s="21"/>
      <c r="I265" s="21"/>
      <c r="J265" s="21"/>
      <c r="K265" s="21"/>
      <c r="L265" s="21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2.75" customHeight="1">
      <c r="A266" s="18"/>
      <c r="B266" s="18"/>
      <c r="C266" s="18"/>
      <c r="D266" s="21"/>
      <c r="E266" s="20"/>
      <c r="F266" s="20"/>
      <c r="G266" s="18"/>
      <c r="H266" s="21"/>
      <c r="I266" s="21"/>
      <c r="J266" s="21"/>
      <c r="K266" s="21"/>
      <c r="L266" s="21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2.75" customHeight="1">
      <c r="A267" s="18"/>
      <c r="B267" s="18"/>
      <c r="C267" s="18"/>
      <c r="D267" s="21"/>
      <c r="E267" s="20"/>
      <c r="F267" s="20"/>
      <c r="G267" s="18"/>
      <c r="H267" s="21"/>
      <c r="I267" s="21"/>
      <c r="J267" s="21"/>
      <c r="K267" s="21"/>
      <c r="L267" s="21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2.75" customHeight="1">
      <c r="A268" s="18"/>
      <c r="B268" s="18"/>
      <c r="C268" s="18"/>
      <c r="D268" s="21"/>
      <c r="E268" s="20"/>
      <c r="F268" s="20"/>
      <c r="G268" s="18"/>
      <c r="H268" s="21"/>
      <c r="I268" s="21"/>
      <c r="J268" s="21"/>
      <c r="K268" s="21"/>
      <c r="L268" s="21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2.75" customHeight="1">
      <c r="A269" s="18"/>
      <c r="B269" s="18"/>
      <c r="C269" s="18"/>
      <c r="D269" s="21"/>
      <c r="E269" s="20"/>
      <c r="F269" s="20"/>
      <c r="G269" s="18"/>
      <c r="H269" s="21"/>
      <c r="I269" s="21"/>
      <c r="J269" s="21"/>
      <c r="K269" s="21"/>
      <c r="L269" s="21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2.75" customHeight="1">
      <c r="A270" s="18"/>
      <c r="B270" s="18"/>
      <c r="C270" s="18"/>
      <c r="D270" s="21"/>
      <c r="E270" s="20"/>
      <c r="F270" s="20"/>
      <c r="G270" s="18"/>
      <c r="H270" s="21"/>
      <c r="I270" s="21"/>
      <c r="J270" s="21"/>
      <c r="K270" s="21"/>
      <c r="L270" s="21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2.75" customHeight="1">
      <c r="A271" s="18"/>
      <c r="B271" s="18"/>
      <c r="C271" s="18"/>
      <c r="D271" s="21"/>
      <c r="E271" s="20"/>
      <c r="F271" s="20"/>
      <c r="G271" s="18"/>
      <c r="H271" s="21"/>
      <c r="I271" s="21"/>
      <c r="J271" s="21"/>
      <c r="K271" s="21"/>
      <c r="L271" s="21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2.75" customHeight="1">
      <c r="A272" s="18"/>
      <c r="B272" s="18"/>
      <c r="C272" s="18"/>
      <c r="D272" s="21"/>
      <c r="E272" s="20"/>
      <c r="F272" s="20"/>
      <c r="G272" s="18"/>
      <c r="H272" s="21"/>
      <c r="I272" s="21"/>
      <c r="J272" s="21"/>
      <c r="K272" s="21"/>
      <c r="L272" s="21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2.75" customHeight="1">
      <c r="A273" s="18"/>
      <c r="B273" s="18"/>
      <c r="C273" s="18"/>
      <c r="D273" s="21"/>
      <c r="E273" s="20"/>
      <c r="F273" s="20"/>
      <c r="G273" s="18"/>
      <c r="H273" s="21"/>
      <c r="I273" s="21"/>
      <c r="J273" s="21"/>
      <c r="K273" s="21"/>
      <c r="L273" s="21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2.75" customHeight="1">
      <c r="A274" s="18"/>
      <c r="B274" s="18"/>
      <c r="C274" s="18"/>
      <c r="D274" s="21"/>
      <c r="E274" s="20"/>
      <c r="F274" s="20"/>
      <c r="G274" s="18"/>
      <c r="H274" s="21"/>
      <c r="I274" s="21"/>
      <c r="J274" s="21"/>
      <c r="K274" s="21"/>
      <c r="L274" s="21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2.75" customHeight="1">
      <c r="A275" s="18"/>
      <c r="B275" s="18"/>
      <c r="C275" s="18"/>
      <c r="D275" s="21"/>
      <c r="E275" s="20"/>
      <c r="F275" s="20"/>
      <c r="G275" s="18"/>
      <c r="H275" s="21"/>
      <c r="I275" s="21"/>
      <c r="J275" s="21"/>
      <c r="K275" s="21"/>
      <c r="L275" s="21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2.75" customHeight="1">
      <c r="A276" s="18"/>
      <c r="B276" s="18"/>
      <c r="C276" s="18"/>
      <c r="D276" s="21"/>
      <c r="E276" s="20"/>
      <c r="F276" s="20"/>
      <c r="G276" s="18"/>
      <c r="H276" s="21"/>
      <c r="I276" s="21"/>
      <c r="J276" s="21"/>
      <c r="K276" s="21"/>
      <c r="L276" s="21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2.75" customHeight="1">
      <c r="A277" s="18"/>
      <c r="B277" s="18"/>
      <c r="C277" s="18"/>
      <c r="D277" s="21"/>
      <c r="E277" s="20"/>
      <c r="F277" s="20"/>
      <c r="G277" s="18"/>
      <c r="H277" s="21"/>
      <c r="I277" s="21"/>
      <c r="J277" s="21"/>
      <c r="K277" s="21"/>
      <c r="L277" s="21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2.75" customHeight="1">
      <c r="A278" s="18"/>
      <c r="B278" s="18"/>
      <c r="C278" s="18"/>
      <c r="D278" s="21"/>
      <c r="E278" s="20"/>
      <c r="F278" s="20"/>
      <c r="G278" s="18"/>
      <c r="H278" s="21"/>
      <c r="I278" s="21"/>
      <c r="J278" s="21"/>
      <c r="K278" s="21"/>
      <c r="L278" s="21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2.75" customHeight="1">
      <c r="A279" s="18"/>
      <c r="B279" s="18"/>
      <c r="C279" s="18"/>
      <c r="D279" s="21"/>
      <c r="E279" s="20"/>
      <c r="F279" s="20"/>
      <c r="G279" s="18"/>
      <c r="H279" s="21"/>
      <c r="I279" s="21"/>
      <c r="J279" s="21"/>
      <c r="K279" s="21"/>
      <c r="L279" s="21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2.75" customHeight="1">
      <c r="A280" s="18"/>
      <c r="B280" s="18"/>
      <c r="C280" s="18"/>
      <c r="D280" s="21"/>
      <c r="E280" s="20"/>
      <c r="F280" s="20"/>
      <c r="G280" s="18"/>
      <c r="H280" s="21"/>
      <c r="I280" s="21"/>
      <c r="J280" s="21"/>
      <c r="K280" s="21"/>
      <c r="L280" s="21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2.75" customHeight="1">
      <c r="A281" s="18"/>
      <c r="B281" s="18"/>
      <c r="C281" s="18"/>
      <c r="D281" s="21"/>
      <c r="E281" s="20"/>
      <c r="F281" s="20"/>
      <c r="G281" s="18"/>
      <c r="H281" s="21"/>
      <c r="I281" s="21"/>
      <c r="J281" s="21"/>
      <c r="K281" s="21"/>
      <c r="L281" s="21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2.75" customHeight="1">
      <c r="A282" s="18"/>
      <c r="B282" s="18"/>
      <c r="C282" s="18"/>
      <c r="D282" s="21"/>
      <c r="E282" s="20"/>
      <c r="F282" s="20"/>
      <c r="G282" s="18"/>
      <c r="H282" s="21"/>
      <c r="I282" s="21"/>
      <c r="J282" s="21"/>
      <c r="K282" s="21"/>
      <c r="L282" s="21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2.75" customHeight="1">
      <c r="A283" s="18"/>
      <c r="B283" s="18"/>
      <c r="C283" s="18"/>
      <c r="D283" s="21"/>
      <c r="E283" s="20"/>
      <c r="F283" s="20"/>
      <c r="G283" s="18"/>
      <c r="H283" s="21"/>
      <c r="I283" s="21"/>
      <c r="J283" s="21"/>
      <c r="K283" s="21"/>
      <c r="L283" s="21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2.75" customHeight="1">
      <c r="A284" s="18"/>
      <c r="B284" s="18"/>
      <c r="C284" s="18"/>
      <c r="D284" s="21"/>
      <c r="E284" s="20"/>
      <c r="F284" s="20"/>
      <c r="G284" s="18"/>
      <c r="H284" s="21"/>
      <c r="I284" s="21"/>
      <c r="J284" s="21"/>
      <c r="K284" s="21"/>
      <c r="L284" s="21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2.75" customHeight="1">
      <c r="A285" s="18"/>
      <c r="B285" s="18"/>
      <c r="C285" s="18"/>
      <c r="D285" s="21"/>
      <c r="E285" s="20"/>
      <c r="F285" s="20"/>
      <c r="G285" s="18"/>
      <c r="H285" s="21"/>
      <c r="I285" s="21"/>
      <c r="J285" s="21"/>
      <c r="K285" s="21"/>
      <c r="L285" s="21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2.75" customHeight="1">
      <c r="A286" s="18"/>
      <c r="B286" s="18"/>
      <c r="C286" s="18"/>
      <c r="D286" s="21"/>
      <c r="E286" s="20"/>
      <c r="F286" s="20"/>
      <c r="G286" s="18"/>
      <c r="H286" s="21"/>
      <c r="I286" s="21"/>
      <c r="J286" s="21"/>
      <c r="K286" s="21"/>
      <c r="L286" s="21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2.75" customHeight="1">
      <c r="A287" s="18"/>
      <c r="B287" s="18"/>
      <c r="C287" s="18"/>
      <c r="D287" s="21"/>
      <c r="E287" s="20"/>
      <c r="F287" s="20"/>
      <c r="G287" s="18"/>
      <c r="H287" s="21"/>
      <c r="I287" s="21"/>
      <c r="J287" s="21"/>
      <c r="K287" s="21"/>
      <c r="L287" s="21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2.75" customHeight="1">
      <c r="A288" s="18"/>
      <c r="B288" s="18"/>
      <c r="C288" s="18"/>
      <c r="D288" s="21"/>
      <c r="E288" s="20"/>
      <c r="F288" s="20"/>
      <c r="G288" s="18"/>
      <c r="H288" s="21"/>
      <c r="I288" s="21"/>
      <c r="J288" s="21"/>
      <c r="K288" s="21"/>
      <c r="L288" s="21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2.75" customHeight="1">
      <c r="A289" s="18"/>
      <c r="B289" s="18"/>
      <c r="C289" s="18"/>
      <c r="D289" s="21"/>
      <c r="E289" s="20"/>
      <c r="F289" s="20"/>
      <c r="G289" s="18"/>
      <c r="H289" s="21"/>
      <c r="I289" s="21"/>
      <c r="J289" s="21"/>
      <c r="K289" s="21"/>
      <c r="L289" s="21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2.75" customHeight="1">
      <c r="A290" s="18"/>
      <c r="B290" s="18"/>
      <c r="C290" s="18"/>
      <c r="D290" s="21"/>
      <c r="E290" s="20"/>
      <c r="F290" s="20"/>
      <c r="G290" s="18"/>
      <c r="H290" s="21"/>
      <c r="I290" s="21"/>
      <c r="J290" s="21"/>
      <c r="K290" s="21"/>
      <c r="L290" s="21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2.75" customHeight="1">
      <c r="A291" s="18"/>
      <c r="B291" s="18"/>
      <c r="C291" s="18"/>
      <c r="D291" s="21"/>
      <c r="E291" s="20"/>
      <c r="F291" s="20"/>
      <c r="G291" s="18"/>
      <c r="H291" s="21"/>
      <c r="I291" s="21"/>
      <c r="J291" s="21"/>
      <c r="K291" s="21"/>
      <c r="L291" s="21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2.75" customHeight="1">
      <c r="A292" s="18"/>
      <c r="B292" s="18"/>
      <c r="C292" s="18"/>
      <c r="D292" s="21"/>
      <c r="E292" s="20"/>
      <c r="F292" s="20"/>
      <c r="G292" s="18"/>
      <c r="H292" s="21"/>
      <c r="I292" s="21"/>
      <c r="J292" s="21"/>
      <c r="K292" s="21"/>
      <c r="L292" s="21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2.75" customHeight="1">
      <c r="A293" s="18"/>
      <c r="B293" s="18"/>
      <c r="C293" s="18"/>
      <c r="D293" s="21"/>
      <c r="E293" s="20"/>
      <c r="F293" s="20"/>
      <c r="G293" s="18"/>
      <c r="H293" s="21"/>
      <c r="I293" s="21"/>
      <c r="J293" s="21"/>
      <c r="K293" s="21"/>
      <c r="L293" s="21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2.75" customHeight="1">
      <c r="A294" s="18"/>
      <c r="B294" s="18"/>
      <c r="C294" s="18"/>
      <c r="D294" s="21"/>
      <c r="E294" s="20"/>
      <c r="F294" s="20"/>
      <c r="G294" s="18"/>
      <c r="H294" s="21"/>
      <c r="I294" s="21"/>
      <c r="J294" s="21"/>
      <c r="K294" s="21"/>
      <c r="L294" s="21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2.75" customHeight="1">
      <c r="A295" s="18"/>
      <c r="B295" s="18"/>
      <c r="C295" s="18"/>
      <c r="D295" s="21"/>
      <c r="E295" s="20"/>
      <c r="F295" s="20"/>
      <c r="G295" s="18"/>
      <c r="H295" s="21"/>
      <c r="I295" s="21"/>
      <c r="J295" s="21"/>
      <c r="K295" s="21"/>
      <c r="L295" s="21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2.75" customHeight="1">
      <c r="A296" s="18"/>
      <c r="B296" s="18"/>
      <c r="C296" s="18"/>
      <c r="D296" s="21"/>
      <c r="E296" s="20"/>
      <c r="F296" s="20"/>
      <c r="G296" s="18"/>
      <c r="H296" s="21"/>
      <c r="I296" s="21"/>
      <c r="J296" s="21"/>
      <c r="K296" s="21"/>
      <c r="L296" s="21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2.75" customHeight="1">
      <c r="A297" s="18"/>
      <c r="B297" s="18"/>
      <c r="C297" s="18"/>
      <c r="D297" s="21"/>
      <c r="E297" s="20"/>
      <c r="F297" s="20"/>
      <c r="G297" s="18"/>
      <c r="H297" s="21"/>
      <c r="I297" s="21"/>
      <c r="J297" s="21"/>
      <c r="K297" s="21"/>
      <c r="L297" s="21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2.75" customHeight="1">
      <c r="A298" s="18"/>
      <c r="B298" s="18"/>
      <c r="C298" s="18"/>
      <c r="D298" s="21"/>
      <c r="E298" s="20"/>
      <c r="F298" s="20"/>
      <c r="G298" s="18"/>
      <c r="H298" s="21"/>
      <c r="I298" s="21"/>
      <c r="J298" s="21"/>
      <c r="K298" s="21"/>
      <c r="L298" s="21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2.75" customHeight="1">
      <c r="A299" s="18"/>
      <c r="B299" s="18"/>
      <c r="C299" s="18"/>
      <c r="D299" s="21"/>
      <c r="E299" s="20"/>
      <c r="F299" s="20"/>
      <c r="G299" s="18"/>
      <c r="H299" s="21"/>
      <c r="I299" s="21"/>
      <c r="J299" s="21"/>
      <c r="K299" s="21"/>
      <c r="L299" s="21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2.75" customHeight="1">
      <c r="A300" s="18"/>
      <c r="B300" s="18"/>
      <c r="C300" s="18"/>
      <c r="D300" s="21"/>
      <c r="E300" s="20"/>
      <c r="F300" s="20"/>
      <c r="G300" s="18"/>
      <c r="H300" s="21"/>
      <c r="I300" s="21"/>
      <c r="J300" s="21"/>
      <c r="K300" s="21"/>
      <c r="L300" s="21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2.75" customHeight="1">
      <c r="A301" s="18"/>
      <c r="B301" s="18"/>
      <c r="C301" s="18"/>
      <c r="D301" s="21"/>
      <c r="E301" s="20"/>
      <c r="F301" s="20"/>
      <c r="G301" s="18"/>
      <c r="H301" s="21"/>
      <c r="I301" s="21"/>
      <c r="J301" s="21"/>
      <c r="K301" s="21"/>
      <c r="L301" s="21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2.75" customHeight="1">
      <c r="A302" s="18"/>
      <c r="B302" s="18"/>
      <c r="C302" s="18"/>
      <c r="D302" s="21"/>
      <c r="E302" s="20"/>
      <c r="F302" s="20"/>
      <c r="G302" s="18"/>
      <c r="H302" s="21"/>
      <c r="I302" s="21"/>
      <c r="J302" s="21"/>
      <c r="K302" s="21"/>
      <c r="L302" s="21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2.75" customHeight="1">
      <c r="A303" s="18"/>
      <c r="B303" s="18"/>
      <c r="C303" s="18"/>
      <c r="D303" s="21"/>
      <c r="E303" s="20"/>
      <c r="F303" s="20"/>
      <c r="G303" s="18"/>
      <c r="H303" s="21"/>
      <c r="I303" s="21"/>
      <c r="J303" s="21"/>
      <c r="K303" s="21"/>
      <c r="L303" s="21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2.75" customHeight="1">
      <c r="A304" s="18"/>
      <c r="B304" s="18"/>
      <c r="C304" s="18"/>
      <c r="D304" s="21"/>
      <c r="E304" s="20"/>
      <c r="F304" s="20"/>
      <c r="G304" s="18"/>
      <c r="H304" s="21"/>
      <c r="I304" s="21"/>
      <c r="J304" s="21"/>
      <c r="K304" s="21"/>
      <c r="L304" s="21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2.75" customHeight="1">
      <c r="A305" s="18"/>
      <c r="B305" s="18"/>
      <c r="C305" s="18"/>
      <c r="D305" s="21"/>
      <c r="E305" s="20"/>
      <c r="F305" s="20"/>
      <c r="G305" s="18"/>
      <c r="H305" s="21"/>
      <c r="I305" s="21"/>
      <c r="J305" s="21"/>
      <c r="K305" s="21"/>
      <c r="L305" s="21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2.75" customHeight="1">
      <c r="A306" s="18"/>
      <c r="B306" s="18"/>
      <c r="C306" s="18"/>
      <c r="D306" s="21"/>
      <c r="E306" s="20"/>
      <c r="F306" s="20"/>
      <c r="G306" s="18"/>
      <c r="H306" s="21"/>
      <c r="I306" s="21"/>
      <c r="J306" s="21"/>
      <c r="K306" s="21"/>
      <c r="L306" s="21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2.75" customHeight="1">
      <c r="A307" s="18"/>
      <c r="B307" s="18"/>
      <c r="C307" s="18"/>
      <c r="D307" s="21"/>
      <c r="E307" s="20"/>
      <c r="F307" s="20"/>
      <c r="G307" s="18"/>
      <c r="H307" s="21"/>
      <c r="I307" s="21"/>
      <c r="J307" s="21"/>
      <c r="K307" s="21"/>
      <c r="L307" s="21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2.75" customHeight="1">
      <c r="A308" s="18"/>
      <c r="B308" s="18"/>
      <c r="C308" s="18"/>
      <c r="D308" s="21"/>
      <c r="E308" s="20"/>
      <c r="F308" s="20"/>
      <c r="G308" s="18"/>
      <c r="H308" s="21"/>
      <c r="I308" s="21"/>
      <c r="J308" s="21"/>
      <c r="K308" s="21"/>
      <c r="L308" s="21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2.75" customHeight="1">
      <c r="A309" s="18"/>
      <c r="B309" s="18"/>
      <c r="C309" s="18"/>
      <c r="D309" s="21"/>
      <c r="E309" s="20"/>
      <c r="F309" s="20"/>
      <c r="G309" s="18"/>
      <c r="H309" s="21"/>
      <c r="I309" s="21"/>
      <c r="J309" s="21"/>
      <c r="K309" s="21"/>
      <c r="L309" s="21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2.75" customHeight="1">
      <c r="A310" s="18"/>
      <c r="B310" s="18"/>
      <c r="C310" s="18"/>
      <c r="D310" s="21"/>
      <c r="E310" s="20"/>
      <c r="F310" s="20"/>
      <c r="G310" s="18"/>
      <c r="H310" s="21"/>
      <c r="I310" s="21"/>
      <c r="J310" s="21"/>
      <c r="K310" s="21"/>
      <c r="L310" s="21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2.75" customHeight="1">
      <c r="A311" s="18"/>
      <c r="B311" s="18"/>
      <c r="C311" s="18"/>
      <c r="D311" s="21"/>
      <c r="E311" s="20"/>
      <c r="F311" s="20"/>
      <c r="G311" s="18"/>
      <c r="H311" s="21"/>
      <c r="I311" s="21"/>
      <c r="J311" s="21"/>
      <c r="K311" s="21"/>
      <c r="L311" s="21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2.75" customHeight="1">
      <c r="A312" s="18"/>
      <c r="B312" s="18"/>
      <c r="C312" s="18"/>
      <c r="D312" s="21"/>
      <c r="E312" s="20"/>
      <c r="F312" s="20"/>
      <c r="G312" s="18"/>
      <c r="H312" s="21"/>
      <c r="I312" s="21"/>
      <c r="J312" s="21"/>
      <c r="K312" s="21"/>
      <c r="L312" s="21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2.75" customHeight="1">
      <c r="A313" s="18"/>
      <c r="B313" s="18"/>
      <c r="C313" s="18"/>
      <c r="D313" s="21"/>
      <c r="E313" s="20"/>
      <c r="F313" s="20"/>
      <c r="G313" s="18"/>
      <c r="H313" s="21"/>
      <c r="I313" s="21"/>
      <c r="J313" s="21"/>
      <c r="K313" s="21"/>
      <c r="L313" s="21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2.75" customHeight="1">
      <c r="A314" s="18"/>
      <c r="B314" s="18"/>
      <c r="C314" s="18"/>
      <c r="D314" s="21"/>
      <c r="E314" s="20"/>
      <c r="F314" s="20"/>
      <c r="G314" s="18"/>
      <c r="H314" s="21"/>
      <c r="I314" s="21"/>
      <c r="J314" s="21"/>
      <c r="K314" s="21"/>
      <c r="L314" s="21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2.75" customHeight="1">
      <c r="A315" s="18"/>
      <c r="B315" s="18"/>
      <c r="C315" s="18"/>
      <c r="D315" s="21"/>
      <c r="E315" s="20"/>
      <c r="F315" s="20"/>
      <c r="G315" s="18"/>
      <c r="H315" s="21"/>
      <c r="I315" s="21"/>
      <c r="J315" s="21"/>
      <c r="K315" s="21"/>
      <c r="L315" s="21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2.75" customHeight="1">
      <c r="A316" s="18"/>
      <c r="B316" s="18"/>
      <c r="C316" s="18"/>
      <c r="D316" s="21"/>
      <c r="E316" s="20"/>
      <c r="F316" s="20"/>
      <c r="G316" s="18"/>
      <c r="H316" s="21"/>
      <c r="I316" s="21"/>
      <c r="J316" s="21"/>
      <c r="K316" s="21"/>
      <c r="L316" s="21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2.75" customHeight="1">
      <c r="A317" s="18"/>
      <c r="B317" s="18"/>
      <c r="C317" s="18"/>
      <c r="D317" s="21"/>
      <c r="E317" s="20"/>
      <c r="F317" s="20"/>
      <c r="G317" s="18"/>
      <c r="H317" s="21"/>
      <c r="I317" s="21"/>
      <c r="J317" s="21"/>
      <c r="K317" s="21"/>
      <c r="L317" s="21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2.75" customHeight="1">
      <c r="A318" s="18"/>
      <c r="B318" s="18"/>
      <c r="C318" s="18"/>
      <c r="D318" s="21"/>
      <c r="E318" s="20"/>
      <c r="F318" s="20"/>
      <c r="G318" s="18"/>
      <c r="H318" s="21"/>
      <c r="I318" s="21"/>
      <c r="J318" s="21"/>
      <c r="K318" s="21"/>
      <c r="L318" s="21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2.75" customHeight="1">
      <c r="A319" s="18"/>
      <c r="B319" s="18"/>
      <c r="C319" s="18"/>
      <c r="D319" s="21"/>
      <c r="E319" s="20"/>
      <c r="F319" s="20"/>
      <c r="G319" s="18"/>
      <c r="H319" s="21"/>
      <c r="I319" s="21"/>
      <c r="J319" s="21"/>
      <c r="K319" s="21"/>
      <c r="L319" s="21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2.75" customHeight="1">
      <c r="A320" s="18"/>
      <c r="B320" s="18"/>
      <c r="C320" s="18"/>
      <c r="D320" s="21"/>
      <c r="E320" s="20"/>
      <c r="F320" s="20"/>
      <c r="G320" s="18"/>
      <c r="H320" s="21"/>
      <c r="I320" s="21"/>
      <c r="J320" s="21"/>
      <c r="K320" s="21"/>
      <c r="L320" s="21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2.75" customHeight="1">
      <c r="A321" s="18"/>
      <c r="B321" s="18"/>
      <c r="C321" s="18"/>
      <c r="D321" s="21"/>
      <c r="E321" s="20"/>
      <c r="F321" s="20"/>
      <c r="G321" s="18"/>
      <c r="H321" s="21"/>
      <c r="I321" s="21"/>
      <c r="J321" s="21"/>
      <c r="K321" s="21"/>
      <c r="L321" s="21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2.75" customHeight="1">
      <c r="A322" s="18"/>
      <c r="B322" s="18"/>
      <c r="C322" s="18"/>
      <c r="D322" s="21"/>
      <c r="E322" s="20"/>
      <c r="F322" s="20"/>
      <c r="G322" s="18"/>
      <c r="H322" s="21"/>
      <c r="I322" s="21"/>
      <c r="J322" s="21"/>
      <c r="K322" s="21"/>
      <c r="L322" s="21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2.75" customHeight="1">
      <c r="A323" s="18"/>
      <c r="B323" s="18"/>
      <c r="C323" s="18"/>
      <c r="D323" s="21"/>
      <c r="E323" s="20"/>
      <c r="F323" s="20"/>
      <c r="G323" s="18"/>
      <c r="H323" s="21"/>
      <c r="I323" s="21"/>
      <c r="J323" s="21"/>
      <c r="K323" s="21"/>
      <c r="L323" s="21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2.75" customHeight="1">
      <c r="A324" s="18"/>
      <c r="B324" s="18"/>
      <c r="C324" s="18"/>
      <c r="D324" s="21"/>
      <c r="E324" s="20"/>
      <c r="F324" s="20"/>
      <c r="G324" s="18"/>
      <c r="H324" s="21"/>
      <c r="I324" s="21"/>
      <c r="J324" s="21"/>
      <c r="K324" s="21"/>
      <c r="L324" s="21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2.75" customHeight="1">
      <c r="A325" s="18"/>
      <c r="B325" s="18"/>
      <c r="C325" s="18"/>
      <c r="D325" s="21"/>
      <c r="E325" s="20"/>
      <c r="F325" s="20"/>
      <c r="G325" s="18"/>
      <c r="H325" s="21"/>
      <c r="I325" s="21"/>
      <c r="J325" s="21"/>
      <c r="K325" s="21"/>
      <c r="L325" s="21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2.75" customHeight="1">
      <c r="A326" s="18"/>
      <c r="B326" s="18"/>
      <c r="C326" s="18"/>
      <c r="D326" s="21"/>
      <c r="E326" s="20"/>
      <c r="F326" s="20"/>
      <c r="G326" s="18"/>
      <c r="H326" s="21"/>
      <c r="I326" s="21"/>
      <c r="J326" s="21"/>
      <c r="K326" s="21"/>
      <c r="L326" s="21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2.75" customHeight="1">
      <c r="A327" s="18"/>
      <c r="B327" s="18"/>
      <c r="C327" s="18"/>
      <c r="D327" s="21"/>
      <c r="E327" s="20"/>
      <c r="F327" s="20"/>
      <c r="G327" s="18"/>
      <c r="H327" s="21"/>
      <c r="I327" s="21"/>
      <c r="J327" s="21"/>
      <c r="K327" s="21"/>
      <c r="L327" s="21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2.75" customHeight="1">
      <c r="A328" s="18"/>
      <c r="B328" s="18"/>
      <c r="C328" s="18"/>
      <c r="D328" s="21"/>
      <c r="E328" s="20"/>
      <c r="F328" s="20"/>
      <c r="G328" s="18"/>
      <c r="H328" s="21"/>
      <c r="I328" s="21"/>
      <c r="J328" s="21"/>
      <c r="K328" s="21"/>
      <c r="L328" s="21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2.75" customHeight="1">
      <c r="A329" s="18"/>
      <c r="B329" s="18"/>
      <c r="C329" s="18"/>
      <c r="D329" s="21"/>
      <c r="E329" s="20"/>
      <c r="F329" s="20"/>
      <c r="G329" s="18"/>
      <c r="H329" s="21"/>
      <c r="I329" s="21"/>
      <c r="J329" s="21"/>
      <c r="K329" s="21"/>
      <c r="L329" s="21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2.75" customHeight="1">
      <c r="A330" s="18"/>
      <c r="B330" s="18"/>
      <c r="C330" s="18"/>
      <c r="D330" s="21"/>
      <c r="E330" s="20"/>
      <c r="F330" s="20"/>
      <c r="G330" s="18"/>
      <c r="H330" s="21"/>
      <c r="I330" s="21"/>
      <c r="J330" s="21"/>
      <c r="K330" s="21"/>
      <c r="L330" s="21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2.75" customHeight="1">
      <c r="A331" s="18"/>
      <c r="B331" s="18"/>
      <c r="C331" s="18"/>
      <c r="D331" s="21"/>
      <c r="E331" s="20"/>
      <c r="F331" s="20"/>
      <c r="G331" s="18"/>
      <c r="H331" s="21"/>
      <c r="I331" s="21"/>
      <c r="J331" s="21"/>
      <c r="K331" s="21"/>
      <c r="L331" s="21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2.75" customHeight="1">
      <c r="A332" s="18"/>
      <c r="B332" s="18"/>
      <c r="C332" s="18"/>
      <c r="D332" s="21"/>
      <c r="E332" s="20"/>
      <c r="F332" s="20"/>
      <c r="G332" s="18"/>
      <c r="H332" s="21"/>
      <c r="I332" s="21"/>
      <c r="J332" s="21"/>
      <c r="K332" s="21"/>
      <c r="L332" s="21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2.75" customHeight="1">
      <c r="A333" s="18"/>
      <c r="B333" s="18"/>
      <c r="C333" s="18"/>
      <c r="D333" s="21"/>
      <c r="E333" s="20"/>
      <c r="F333" s="20"/>
      <c r="G333" s="18"/>
      <c r="H333" s="21"/>
      <c r="I333" s="21"/>
      <c r="J333" s="21"/>
      <c r="K333" s="21"/>
      <c r="L333" s="21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2.75" customHeight="1">
      <c r="A334" s="18"/>
      <c r="B334" s="18"/>
      <c r="C334" s="18"/>
      <c r="D334" s="21"/>
      <c r="E334" s="20"/>
      <c r="F334" s="20"/>
      <c r="G334" s="18"/>
      <c r="H334" s="21"/>
      <c r="I334" s="21"/>
      <c r="J334" s="21"/>
      <c r="K334" s="21"/>
      <c r="L334" s="21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2.75" customHeight="1">
      <c r="A335" s="18"/>
      <c r="B335" s="18"/>
      <c r="C335" s="18"/>
      <c r="D335" s="21"/>
      <c r="E335" s="20"/>
      <c r="F335" s="20"/>
      <c r="G335" s="18"/>
      <c r="H335" s="21"/>
      <c r="I335" s="21"/>
      <c r="J335" s="21"/>
      <c r="K335" s="21"/>
      <c r="L335" s="21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2.75" customHeight="1">
      <c r="A336" s="18"/>
      <c r="B336" s="18"/>
      <c r="C336" s="18"/>
      <c r="D336" s="21"/>
      <c r="E336" s="20"/>
      <c r="F336" s="20"/>
      <c r="G336" s="18"/>
      <c r="H336" s="21"/>
      <c r="I336" s="21"/>
      <c r="J336" s="21"/>
      <c r="K336" s="21"/>
      <c r="L336" s="21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2.75" customHeight="1">
      <c r="A337" s="18"/>
      <c r="B337" s="18"/>
      <c r="C337" s="18"/>
      <c r="D337" s="21"/>
      <c r="E337" s="20"/>
      <c r="F337" s="20"/>
      <c r="G337" s="18"/>
      <c r="H337" s="21"/>
      <c r="I337" s="21"/>
      <c r="J337" s="21"/>
      <c r="K337" s="21"/>
      <c r="L337" s="21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2.75" customHeight="1">
      <c r="A338" s="18"/>
      <c r="B338" s="18"/>
      <c r="C338" s="18"/>
      <c r="D338" s="21"/>
      <c r="E338" s="20"/>
      <c r="F338" s="20"/>
      <c r="G338" s="18"/>
      <c r="H338" s="21"/>
      <c r="I338" s="21"/>
      <c r="J338" s="21"/>
      <c r="K338" s="21"/>
      <c r="L338" s="21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2.75" customHeight="1">
      <c r="A339" s="18"/>
      <c r="B339" s="18"/>
      <c r="C339" s="18"/>
      <c r="D339" s="21"/>
      <c r="E339" s="20"/>
      <c r="F339" s="20"/>
      <c r="G339" s="18"/>
      <c r="H339" s="21"/>
      <c r="I339" s="21"/>
      <c r="J339" s="21"/>
      <c r="K339" s="21"/>
      <c r="L339" s="21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2.75" customHeight="1">
      <c r="A340" s="18"/>
      <c r="B340" s="18"/>
      <c r="C340" s="18"/>
      <c r="D340" s="21"/>
      <c r="E340" s="20"/>
      <c r="F340" s="20"/>
      <c r="G340" s="18"/>
      <c r="H340" s="21"/>
      <c r="I340" s="21"/>
      <c r="J340" s="21"/>
      <c r="K340" s="21"/>
      <c r="L340" s="21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2.75" customHeight="1">
      <c r="A341" s="18"/>
      <c r="B341" s="18"/>
      <c r="C341" s="18"/>
      <c r="D341" s="21"/>
      <c r="E341" s="20"/>
      <c r="F341" s="20"/>
      <c r="G341" s="18"/>
      <c r="H341" s="21"/>
      <c r="I341" s="21"/>
      <c r="J341" s="21"/>
      <c r="K341" s="21"/>
      <c r="L341" s="21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2.75" customHeight="1">
      <c r="A342" s="18"/>
      <c r="B342" s="18"/>
      <c r="C342" s="18"/>
      <c r="D342" s="21"/>
      <c r="E342" s="20"/>
      <c r="F342" s="20"/>
      <c r="G342" s="18"/>
      <c r="H342" s="21"/>
      <c r="I342" s="21"/>
      <c r="J342" s="21"/>
      <c r="K342" s="21"/>
      <c r="L342" s="21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2.75" customHeight="1">
      <c r="A343" s="18"/>
      <c r="B343" s="18"/>
      <c r="C343" s="18"/>
      <c r="D343" s="21"/>
      <c r="E343" s="20"/>
      <c r="F343" s="20"/>
      <c r="G343" s="18"/>
      <c r="H343" s="21"/>
      <c r="I343" s="21"/>
      <c r="J343" s="21"/>
      <c r="K343" s="21"/>
      <c r="L343" s="21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2.75" customHeight="1">
      <c r="A344" s="18"/>
      <c r="B344" s="18"/>
      <c r="C344" s="18"/>
      <c r="D344" s="21"/>
      <c r="E344" s="20"/>
      <c r="F344" s="20"/>
      <c r="G344" s="18"/>
      <c r="H344" s="21"/>
      <c r="I344" s="21"/>
      <c r="J344" s="21"/>
      <c r="K344" s="21"/>
      <c r="L344" s="21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2.75" customHeight="1">
      <c r="A345" s="18"/>
      <c r="B345" s="18"/>
      <c r="C345" s="18"/>
      <c r="D345" s="21"/>
      <c r="E345" s="20"/>
      <c r="F345" s="20"/>
      <c r="G345" s="18"/>
      <c r="H345" s="21"/>
      <c r="I345" s="21"/>
      <c r="J345" s="21"/>
      <c r="K345" s="21"/>
      <c r="L345" s="21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2.75" customHeight="1">
      <c r="A346" s="18"/>
      <c r="B346" s="18"/>
      <c r="C346" s="18"/>
      <c r="D346" s="21"/>
      <c r="E346" s="20"/>
      <c r="F346" s="20"/>
      <c r="G346" s="18"/>
      <c r="H346" s="21"/>
      <c r="I346" s="21"/>
      <c r="J346" s="21"/>
      <c r="K346" s="21"/>
      <c r="L346" s="21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2.75" customHeight="1">
      <c r="A347" s="18"/>
      <c r="B347" s="18"/>
      <c r="C347" s="18"/>
      <c r="D347" s="21"/>
      <c r="E347" s="20"/>
      <c r="F347" s="20"/>
      <c r="G347" s="18"/>
      <c r="H347" s="21"/>
      <c r="I347" s="21"/>
      <c r="J347" s="21"/>
      <c r="K347" s="21"/>
      <c r="L347" s="21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2.75" customHeight="1">
      <c r="A348" s="18"/>
      <c r="B348" s="18"/>
      <c r="C348" s="18"/>
      <c r="D348" s="21"/>
      <c r="E348" s="20"/>
      <c r="F348" s="20"/>
      <c r="G348" s="18"/>
      <c r="H348" s="21"/>
      <c r="I348" s="21"/>
      <c r="J348" s="21"/>
      <c r="K348" s="21"/>
      <c r="L348" s="21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2.75" customHeight="1">
      <c r="A349" s="18"/>
      <c r="B349" s="18"/>
      <c r="C349" s="18"/>
      <c r="D349" s="21"/>
      <c r="E349" s="20"/>
      <c r="F349" s="20"/>
      <c r="G349" s="18"/>
      <c r="H349" s="21"/>
      <c r="I349" s="21"/>
      <c r="J349" s="21"/>
      <c r="K349" s="21"/>
      <c r="L349" s="21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2.75" customHeight="1">
      <c r="A350" s="18"/>
      <c r="B350" s="18"/>
      <c r="C350" s="18"/>
      <c r="D350" s="21"/>
      <c r="E350" s="20"/>
      <c r="F350" s="20"/>
      <c r="G350" s="18"/>
      <c r="H350" s="21"/>
      <c r="I350" s="21"/>
      <c r="J350" s="21"/>
      <c r="K350" s="21"/>
      <c r="L350" s="21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2.75" customHeight="1">
      <c r="A351" s="18"/>
      <c r="B351" s="18"/>
      <c r="C351" s="18"/>
      <c r="D351" s="21"/>
      <c r="E351" s="20"/>
      <c r="F351" s="20"/>
      <c r="G351" s="18"/>
      <c r="H351" s="21"/>
      <c r="I351" s="21"/>
      <c r="J351" s="21"/>
      <c r="K351" s="21"/>
      <c r="L351" s="21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2.75" customHeight="1">
      <c r="A352" s="18"/>
      <c r="B352" s="18"/>
      <c r="C352" s="18"/>
      <c r="D352" s="21"/>
      <c r="E352" s="20"/>
      <c r="F352" s="20"/>
      <c r="G352" s="18"/>
      <c r="H352" s="21"/>
      <c r="I352" s="21"/>
      <c r="J352" s="21"/>
      <c r="K352" s="21"/>
      <c r="L352" s="21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2.75" customHeight="1">
      <c r="A353" s="18"/>
      <c r="B353" s="18"/>
      <c r="C353" s="18"/>
      <c r="D353" s="21"/>
      <c r="E353" s="20"/>
      <c r="F353" s="20"/>
      <c r="G353" s="18"/>
      <c r="H353" s="21"/>
      <c r="I353" s="21"/>
      <c r="J353" s="21"/>
      <c r="K353" s="21"/>
      <c r="L353" s="21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2.75" customHeight="1">
      <c r="A354" s="18"/>
      <c r="B354" s="18"/>
      <c r="C354" s="18"/>
      <c r="D354" s="21"/>
      <c r="E354" s="20"/>
      <c r="F354" s="20"/>
      <c r="G354" s="18"/>
      <c r="H354" s="21"/>
      <c r="I354" s="21"/>
      <c r="J354" s="21"/>
      <c r="K354" s="21"/>
      <c r="L354" s="21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2.75" customHeight="1">
      <c r="A355" s="18"/>
      <c r="B355" s="18"/>
      <c r="C355" s="18"/>
      <c r="D355" s="21"/>
      <c r="E355" s="20"/>
      <c r="F355" s="20"/>
      <c r="G355" s="18"/>
      <c r="H355" s="21"/>
      <c r="I355" s="21"/>
      <c r="J355" s="21"/>
      <c r="K355" s="21"/>
      <c r="L355" s="21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2.75" customHeight="1">
      <c r="A356" s="18"/>
      <c r="B356" s="18"/>
      <c r="C356" s="18"/>
      <c r="D356" s="21"/>
      <c r="E356" s="20"/>
      <c r="F356" s="20"/>
      <c r="G356" s="18"/>
      <c r="H356" s="21"/>
      <c r="I356" s="21"/>
      <c r="J356" s="21"/>
      <c r="K356" s="21"/>
      <c r="L356" s="21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2.75" customHeight="1">
      <c r="A357" s="18"/>
      <c r="B357" s="18"/>
      <c r="C357" s="18"/>
      <c r="D357" s="21"/>
      <c r="E357" s="20"/>
      <c r="F357" s="20"/>
      <c r="G357" s="18"/>
      <c r="H357" s="21"/>
      <c r="I357" s="21"/>
      <c r="J357" s="21"/>
      <c r="K357" s="21"/>
      <c r="L357" s="21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2.75" customHeight="1">
      <c r="A358" s="18"/>
      <c r="B358" s="18"/>
      <c r="C358" s="18"/>
      <c r="D358" s="21"/>
      <c r="E358" s="20"/>
      <c r="F358" s="20"/>
      <c r="G358" s="18"/>
      <c r="H358" s="21"/>
      <c r="I358" s="21"/>
      <c r="J358" s="21"/>
      <c r="K358" s="21"/>
      <c r="L358" s="21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2.75" customHeight="1">
      <c r="A359" s="18"/>
      <c r="B359" s="18"/>
      <c r="C359" s="18"/>
      <c r="D359" s="21"/>
      <c r="E359" s="20"/>
      <c r="F359" s="20"/>
      <c r="G359" s="18"/>
      <c r="H359" s="21"/>
      <c r="I359" s="21"/>
      <c r="J359" s="21"/>
      <c r="K359" s="21"/>
      <c r="L359" s="21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2.75" customHeight="1">
      <c r="A360" s="18"/>
      <c r="B360" s="18"/>
      <c r="C360" s="18"/>
      <c r="D360" s="21"/>
      <c r="E360" s="20"/>
      <c r="F360" s="20"/>
      <c r="G360" s="18"/>
      <c r="H360" s="21"/>
      <c r="I360" s="21"/>
      <c r="J360" s="21"/>
      <c r="K360" s="21"/>
      <c r="L360" s="21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2.75" customHeight="1">
      <c r="A361" s="18"/>
      <c r="B361" s="18"/>
      <c r="C361" s="18"/>
      <c r="D361" s="21"/>
      <c r="E361" s="20"/>
      <c r="F361" s="20"/>
      <c r="G361" s="18"/>
      <c r="H361" s="21"/>
      <c r="I361" s="21"/>
      <c r="J361" s="21"/>
      <c r="K361" s="21"/>
      <c r="L361" s="21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2.75" customHeight="1">
      <c r="A362" s="18"/>
      <c r="B362" s="18"/>
      <c r="C362" s="18"/>
      <c r="D362" s="21"/>
      <c r="E362" s="20"/>
      <c r="F362" s="20"/>
      <c r="G362" s="18"/>
      <c r="H362" s="21"/>
      <c r="I362" s="21"/>
      <c r="J362" s="21"/>
      <c r="K362" s="21"/>
      <c r="L362" s="21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2.75" customHeight="1">
      <c r="A363" s="18"/>
      <c r="B363" s="18"/>
      <c r="C363" s="18"/>
      <c r="D363" s="21"/>
      <c r="E363" s="20"/>
      <c r="F363" s="20"/>
      <c r="G363" s="18"/>
      <c r="H363" s="21"/>
      <c r="I363" s="21"/>
      <c r="J363" s="21"/>
      <c r="K363" s="21"/>
      <c r="L363" s="21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2.75" customHeight="1">
      <c r="A364" s="18"/>
      <c r="B364" s="18"/>
      <c r="C364" s="18"/>
      <c r="D364" s="21"/>
      <c r="E364" s="20"/>
      <c r="F364" s="20"/>
      <c r="G364" s="18"/>
      <c r="H364" s="21"/>
      <c r="I364" s="21"/>
      <c r="J364" s="21"/>
      <c r="K364" s="21"/>
      <c r="L364" s="21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2.75" customHeight="1">
      <c r="A365" s="18"/>
      <c r="B365" s="18"/>
      <c r="C365" s="18"/>
      <c r="D365" s="21"/>
      <c r="E365" s="20"/>
      <c r="F365" s="20"/>
      <c r="G365" s="18"/>
      <c r="H365" s="21"/>
      <c r="I365" s="21"/>
      <c r="J365" s="21"/>
      <c r="K365" s="21"/>
      <c r="L365" s="21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2.75" customHeight="1">
      <c r="A366" s="18"/>
      <c r="B366" s="18"/>
      <c r="C366" s="18"/>
      <c r="D366" s="21"/>
      <c r="E366" s="20"/>
      <c r="F366" s="20"/>
      <c r="G366" s="18"/>
      <c r="H366" s="21"/>
      <c r="I366" s="21"/>
      <c r="J366" s="21"/>
      <c r="K366" s="21"/>
      <c r="L366" s="21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2.75" customHeight="1">
      <c r="A367" s="18"/>
      <c r="B367" s="18"/>
      <c r="C367" s="18"/>
      <c r="D367" s="21"/>
      <c r="E367" s="20"/>
      <c r="F367" s="20"/>
      <c r="G367" s="18"/>
      <c r="H367" s="21"/>
      <c r="I367" s="21"/>
      <c r="J367" s="21"/>
      <c r="K367" s="21"/>
      <c r="L367" s="21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2.75" customHeight="1">
      <c r="A368" s="18"/>
      <c r="B368" s="18"/>
      <c r="C368" s="18"/>
      <c r="D368" s="21"/>
      <c r="E368" s="20"/>
      <c r="F368" s="20"/>
      <c r="G368" s="18"/>
      <c r="H368" s="21"/>
      <c r="I368" s="21"/>
      <c r="J368" s="21"/>
      <c r="K368" s="21"/>
      <c r="L368" s="21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2.75" customHeight="1">
      <c r="A369" s="18"/>
      <c r="B369" s="18"/>
      <c r="C369" s="18"/>
      <c r="D369" s="21"/>
      <c r="E369" s="20"/>
      <c r="F369" s="20"/>
      <c r="G369" s="18"/>
      <c r="H369" s="21"/>
      <c r="I369" s="21"/>
      <c r="J369" s="21"/>
      <c r="K369" s="21"/>
      <c r="L369" s="21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2.75" customHeight="1">
      <c r="A370" s="18"/>
      <c r="B370" s="18"/>
      <c r="C370" s="18"/>
      <c r="D370" s="21"/>
      <c r="E370" s="20"/>
      <c r="F370" s="20"/>
      <c r="G370" s="18"/>
      <c r="H370" s="21"/>
      <c r="I370" s="21"/>
      <c r="J370" s="21"/>
      <c r="K370" s="21"/>
      <c r="L370" s="21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2.75" customHeight="1">
      <c r="A371" s="18"/>
      <c r="B371" s="18"/>
      <c r="C371" s="18"/>
      <c r="D371" s="21"/>
      <c r="E371" s="20"/>
      <c r="F371" s="20"/>
      <c r="G371" s="18"/>
      <c r="H371" s="21"/>
      <c r="I371" s="21"/>
      <c r="J371" s="21"/>
      <c r="K371" s="21"/>
      <c r="L371" s="21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2.75" customHeight="1">
      <c r="A372" s="18"/>
      <c r="B372" s="18"/>
      <c r="C372" s="18"/>
      <c r="D372" s="21"/>
      <c r="E372" s="20"/>
      <c r="F372" s="20"/>
      <c r="G372" s="18"/>
      <c r="H372" s="21"/>
      <c r="I372" s="21"/>
      <c r="J372" s="21"/>
      <c r="K372" s="21"/>
      <c r="L372" s="21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2.75" customHeight="1">
      <c r="A373" s="18"/>
      <c r="B373" s="18"/>
      <c r="C373" s="18"/>
      <c r="D373" s="21"/>
      <c r="E373" s="20"/>
      <c r="F373" s="20"/>
      <c r="G373" s="18"/>
      <c r="H373" s="21"/>
      <c r="I373" s="21"/>
      <c r="J373" s="21"/>
      <c r="K373" s="21"/>
      <c r="L373" s="21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2.75" customHeight="1">
      <c r="A374" s="18"/>
      <c r="B374" s="18"/>
      <c r="C374" s="18"/>
      <c r="D374" s="21"/>
      <c r="E374" s="20"/>
      <c r="F374" s="20"/>
      <c r="G374" s="18"/>
      <c r="H374" s="21"/>
      <c r="I374" s="21"/>
      <c r="J374" s="21"/>
      <c r="K374" s="21"/>
      <c r="L374" s="21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2.75" customHeight="1">
      <c r="A375" s="18"/>
      <c r="B375" s="18"/>
      <c r="C375" s="18"/>
      <c r="D375" s="21"/>
      <c r="E375" s="20"/>
      <c r="F375" s="20"/>
      <c r="G375" s="18"/>
      <c r="H375" s="21"/>
      <c r="I375" s="21"/>
      <c r="J375" s="21"/>
      <c r="K375" s="21"/>
      <c r="L375" s="21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2.75" customHeight="1">
      <c r="A376" s="18"/>
      <c r="B376" s="18"/>
      <c r="C376" s="18"/>
      <c r="D376" s="21"/>
      <c r="E376" s="20"/>
      <c r="F376" s="20"/>
      <c r="G376" s="18"/>
      <c r="H376" s="21"/>
      <c r="I376" s="21"/>
      <c r="J376" s="21"/>
      <c r="K376" s="21"/>
      <c r="L376" s="21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2.75" customHeight="1">
      <c r="A377" s="18"/>
      <c r="B377" s="18"/>
      <c r="C377" s="18"/>
      <c r="D377" s="21"/>
      <c r="E377" s="20"/>
      <c r="F377" s="20"/>
      <c r="G377" s="18"/>
      <c r="H377" s="21"/>
      <c r="I377" s="21"/>
      <c r="J377" s="21"/>
      <c r="K377" s="21"/>
      <c r="L377" s="21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2.75" customHeight="1">
      <c r="A378" s="18"/>
      <c r="B378" s="18"/>
      <c r="C378" s="18"/>
      <c r="D378" s="21"/>
      <c r="E378" s="20"/>
      <c r="F378" s="20"/>
      <c r="G378" s="18"/>
      <c r="H378" s="21"/>
      <c r="I378" s="21"/>
      <c r="J378" s="21"/>
      <c r="K378" s="21"/>
      <c r="L378" s="21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2.75" customHeight="1">
      <c r="A379" s="18"/>
      <c r="B379" s="18"/>
      <c r="C379" s="18"/>
      <c r="D379" s="21"/>
      <c r="E379" s="20"/>
      <c r="F379" s="20"/>
      <c r="G379" s="18"/>
      <c r="H379" s="21"/>
      <c r="I379" s="21"/>
      <c r="J379" s="21"/>
      <c r="K379" s="21"/>
      <c r="L379" s="21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2.75" customHeight="1">
      <c r="A380" s="18"/>
      <c r="B380" s="18"/>
      <c r="C380" s="18"/>
      <c r="D380" s="21"/>
      <c r="E380" s="20"/>
      <c r="F380" s="20"/>
      <c r="G380" s="18"/>
      <c r="H380" s="21"/>
      <c r="I380" s="21"/>
      <c r="J380" s="21"/>
      <c r="K380" s="21"/>
      <c r="L380" s="21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2.75" customHeight="1">
      <c r="A381" s="18"/>
      <c r="B381" s="18"/>
      <c r="C381" s="18"/>
      <c r="D381" s="21"/>
      <c r="E381" s="20"/>
      <c r="F381" s="20"/>
      <c r="G381" s="18"/>
      <c r="H381" s="21"/>
      <c r="I381" s="21"/>
      <c r="J381" s="21"/>
      <c r="K381" s="21"/>
      <c r="L381" s="21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2.75" customHeight="1">
      <c r="A382" s="18"/>
      <c r="B382" s="18"/>
      <c r="C382" s="18"/>
      <c r="D382" s="21"/>
      <c r="E382" s="20"/>
      <c r="F382" s="20"/>
      <c r="G382" s="18"/>
      <c r="H382" s="21"/>
      <c r="I382" s="21"/>
      <c r="J382" s="21"/>
      <c r="K382" s="21"/>
      <c r="L382" s="21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2.75" customHeight="1">
      <c r="A383" s="18"/>
      <c r="B383" s="18"/>
      <c r="C383" s="18"/>
      <c r="D383" s="21"/>
      <c r="E383" s="20"/>
      <c r="F383" s="20"/>
      <c r="G383" s="18"/>
      <c r="H383" s="21"/>
      <c r="I383" s="21"/>
      <c r="J383" s="21"/>
      <c r="K383" s="21"/>
      <c r="L383" s="21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2.75" customHeight="1">
      <c r="A384" s="18"/>
      <c r="B384" s="18"/>
      <c r="C384" s="18"/>
      <c r="D384" s="21"/>
      <c r="E384" s="20"/>
      <c r="F384" s="20"/>
      <c r="G384" s="18"/>
      <c r="H384" s="21"/>
      <c r="I384" s="21"/>
      <c r="J384" s="21"/>
      <c r="K384" s="21"/>
      <c r="L384" s="21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2.75" customHeight="1">
      <c r="A385" s="18"/>
      <c r="B385" s="18"/>
      <c r="C385" s="18"/>
      <c r="D385" s="21"/>
      <c r="E385" s="20"/>
      <c r="F385" s="20"/>
      <c r="G385" s="18"/>
      <c r="H385" s="21"/>
      <c r="I385" s="21"/>
      <c r="J385" s="21"/>
      <c r="K385" s="21"/>
      <c r="L385" s="21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2.75" customHeight="1">
      <c r="A386" s="18"/>
      <c r="B386" s="18"/>
      <c r="C386" s="18"/>
      <c r="D386" s="21"/>
      <c r="E386" s="20"/>
      <c r="F386" s="20"/>
      <c r="G386" s="18"/>
      <c r="H386" s="21"/>
      <c r="I386" s="21"/>
      <c r="J386" s="21"/>
      <c r="K386" s="21"/>
      <c r="L386" s="21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2.75" customHeight="1">
      <c r="A387" s="18"/>
      <c r="B387" s="18"/>
      <c r="C387" s="18"/>
      <c r="D387" s="21"/>
      <c r="E387" s="20"/>
      <c r="F387" s="20"/>
      <c r="G387" s="18"/>
      <c r="H387" s="21"/>
      <c r="I387" s="21"/>
      <c r="J387" s="21"/>
      <c r="K387" s="21"/>
      <c r="L387" s="21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2.75" customHeight="1">
      <c r="A388" s="18"/>
      <c r="B388" s="18"/>
      <c r="C388" s="18"/>
      <c r="D388" s="21"/>
      <c r="E388" s="20"/>
      <c r="F388" s="20"/>
      <c r="G388" s="18"/>
      <c r="H388" s="21"/>
      <c r="I388" s="21"/>
      <c r="J388" s="21"/>
      <c r="K388" s="21"/>
      <c r="L388" s="21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2.75" customHeight="1">
      <c r="A389" s="18"/>
      <c r="B389" s="18"/>
      <c r="C389" s="18"/>
      <c r="D389" s="21"/>
      <c r="E389" s="20"/>
      <c r="F389" s="20"/>
      <c r="G389" s="18"/>
      <c r="H389" s="21"/>
      <c r="I389" s="21"/>
      <c r="J389" s="21"/>
      <c r="K389" s="21"/>
      <c r="L389" s="21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2.75" customHeight="1">
      <c r="A390" s="18"/>
      <c r="B390" s="18"/>
      <c r="C390" s="18"/>
      <c r="D390" s="21"/>
      <c r="E390" s="20"/>
      <c r="F390" s="20"/>
      <c r="G390" s="18"/>
      <c r="H390" s="21"/>
      <c r="I390" s="21"/>
      <c r="J390" s="21"/>
      <c r="K390" s="21"/>
      <c r="L390" s="21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2.75" customHeight="1">
      <c r="A391" s="18"/>
      <c r="B391" s="18"/>
      <c r="C391" s="18"/>
      <c r="D391" s="21"/>
      <c r="E391" s="20"/>
      <c r="F391" s="20"/>
      <c r="G391" s="18"/>
      <c r="H391" s="21"/>
      <c r="I391" s="21"/>
      <c r="J391" s="21"/>
      <c r="K391" s="21"/>
      <c r="L391" s="21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2.75" customHeight="1">
      <c r="A392" s="18"/>
      <c r="B392" s="18"/>
      <c r="C392" s="18"/>
      <c r="D392" s="21"/>
      <c r="E392" s="20"/>
      <c r="F392" s="20"/>
      <c r="G392" s="18"/>
      <c r="H392" s="21"/>
      <c r="I392" s="21"/>
      <c r="J392" s="21"/>
      <c r="K392" s="21"/>
      <c r="L392" s="21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2.75" customHeight="1">
      <c r="A393" s="18"/>
      <c r="B393" s="18"/>
      <c r="C393" s="18"/>
      <c r="D393" s="21"/>
      <c r="E393" s="20"/>
      <c r="F393" s="20"/>
      <c r="G393" s="18"/>
      <c r="H393" s="21"/>
      <c r="I393" s="21"/>
      <c r="J393" s="21"/>
      <c r="K393" s="21"/>
      <c r="L393" s="21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2.75" customHeight="1">
      <c r="A394" s="18"/>
      <c r="B394" s="18"/>
      <c r="C394" s="18"/>
      <c r="D394" s="21"/>
      <c r="E394" s="20"/>
      <c r="F394" s="20"/>
      <c r="G394" s="18"/>
      <c r="H394" s="21"/>
      <c r="I394" s="21"/>
      <c r="J394" s="21"/>
      <c r="K394" s="21"/>
      <c r="L394" s="21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2.75" customHeight="1">
      <c r="A395" s="18"/>
      <c r="B395" s="18"/>
      <c r="C395" s="18"/>
      <c r="D395" s="21"/>
      <c r="E395" s="20"/>
      <c r="F395" s="20"/>
      <c r="G395" s="18"/>
      <c r="H395" s="21"/>
      <c r="I395" s="21"/>
      <c r="J395" s="21"/>
      <c r="K395" s="21"/>
      <c r="L395" s="21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2.75" customHeight="1">
      <c r="A396" s="18"/>
      <c r="B396" s="18"/>
      <c r="C396" s="18"/>
      <c r="D396" s="21"/>
      <c r="E396" s="20"/>
      <c r="F396" s="20"/>
      <c r="G396" s="18"/>
      <c r="H396" s="21"/>
      <c r="I396" s="21"/>
      <c r="J396" s="21"/>
      <c r="K396" s="21"/>
      <c r="L396" s="21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2.75" customHeight="1">
      <c r="A397" s="18"/>
      <c r="B397" s="18"/>
      <c r="C397" s="18"/>
      <c r="D397" s="21"/>
      <c r="E397" s="20"/>
      <c r="F397" s="20"/>
      <c r="G397" s="18"/>
      <c r="H397" s="21"/>
      <c r="I397" s="21"/>
      <c r="J397" s="21"/>
      <c r="K397" s="21"/>
      <c r="L397" s="21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2.75" customHeight="1">
      <c r="A398" s="18"/>
      <c r="B398" s="18"/>
      <c r="C398" s="18"/>
      <c r="D398" s="21"/>
      <c r="E398" s="20"/>
      <c r="F398" s="20"/>
      <c r="G398" s="18"/>
      <c r="H398" s="21"/>
      <c r="I398" s="21"/>
      <c r="J398" s="21"/>
      <c r="K398" s="21"/>
      <c r="L398" s="21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2.75" customHeight="1">
      <c r="A399" s="18"/>
      <c r="B399" s="18"/>
      <c r="C399" s="18"/>
      <c r="D399" s="21"/>
      <c r="E399" s="20"/>
      <c r="F399" s="20"/>
      <c r="G399" s="18"/>
      <c r="H399" s="21"/>
      <c r="I399" s="21"/>
      <c r="J399" s="21"/>
      <c r="K399" s="21"/>
      <c r="L399" s="21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2.75" customHeight="1">
      <c r="A400" s="18"/>
      <c r="B400" s="18"/>
      <c r="C400" s="18"/>
      <c r="D400" s="21"/>
      <c r="E400" s="20"/>
      <c r="F400" s="20"/>
      <c r="G400" s="18"/>
      <c r="H400" s="21"/>
      <c r="I400" s="21"/>
      <c r="J400" s="21"/>
      <c r="K400" s="21"/>
      <c r="L400" s="21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2.75" customHeight="1">
      <c r="A401" s="18"/>
      <c r="B401" s="18"/>
      <c r="C401" s="18"/>
      <c r="D401" s="21"/>
      <c r="E401" s="20"/>
      <c r="F401" s="20"/>
      <c r="G401" s="18"/>
      <c r="H401" s="21"/>
      <c r="I401" s="21"/>
      <c r="J401" s="21"/>
      <c r="K401" s="21"/>
      <c r="L401" s="21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2.75" customHeight="1">
      <c r="A402" s="18"/>
      <c r="B402" s="18"/>
      <c r="C402" s="18"/>
      <c r="D402" s="21"/>
      <c r="E402" s="20"/>
      <c r="F402" s="20"/>
      <c r="G402" s="18"/>
      <c r="H402" s="21"/>
      <c r="I402" s="21"/>
      <c r="J402" s="21"/>
      <c r="K402" s="21"/>
      <c r="L402" s="21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2.75" customHeight="1">
      <c r="A403" s="18"/>
      <c r="B403" s="18"/>
      <c r="C403" s="18"/>
      <c r="D403" s="21"/>
      <c r="E403" s="20"/>
      <c r="F403" s="20"/>
      <c r="G403" s="18"/>
      <c r="H403" s="21"/>
      <c r="I403" s="21"/>
      <c r="J403" s="21"/>
      <c r="K403" s="21"/>
      <c r="L403" s="21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2.75" customHeight="1">
      <c r="A404" s="18"/>
      <c r="B404" s="18"/>
      <c r="C404" s="18"/>
      <c r="D404" s="21"/>
      <c r="E404" s="20"/>
      <c r="F404" s="20"/>
      <c r="G404" s="18"/>
      <c r="H404" s="21"/>
      <c r="I404" s="21"/>
      <c r="J404" s="21"/>
      <c r="K404" s="21"/>
      <c r="L404" s="21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2.75" customHeight="1">
      <c r="A405" s="18"/>
      <c r="B405" s="18"/>
      <c r="C405" s="18"/>
      <c r="D405" s="21"/>
      <c r="E405" s="20"/>
      <c r="F405" s="20"/>
      <c r="G405" s="18"/>
      <c r="H405" s="21"/>
      <c r="I405" s="21"/>
      <c r="J405" s="21"/>
      <c r="K405" s="21"/>
      <c r="L405" s="21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2.75" customHeight="1">
      <c r="A406" s="18"/>
      <c r="B406" s="18"/>
      <c r="C406" s="18"/>
      <c r="D406" s="21"/>
      <c r="E406" s="20"/>
      <c r="F406" s="20"/>
      <c r="G406" s="18"/>
      <c r="H406" s="21"/>
      <c r="I406" s="21"/>
      <c r="J406" s="21"/>
      <c r="K406" s="21"/>
      <c r="L406" s="21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2.75" customHeight="1">
      <c r="A407" s="18"/>
      <c r="B407" s="18"/>
      <c r="C407" s="18"/>
      <c r="D407" s="21"/>
      <c r="E407" s="20"/>
      <c r="F407" s="20"/>
      <c r="G407" s="18"/>
      <c r="H407" s="21"/>
      <c r="I407" s="21"/>
      <c r="J407" s="21"/>
      <c r="K407" s="21"/>
      <c r="L407" s="21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2.75" customHeight="1">
      <c r="A408" s="18"/>
      <c r="B408" s="18"/>
      <c r="C408" s="18"/>
      <c r="D408" s="21"/>
      <c r="E408" s="20"/>
      <c r="F408" s="20"/>
      <c r="G408" s="18"/>
      <c r="H408" s="21"/>
      <c r="I408" s="21"/>
      <c r="J408" s="21"/>
      <c r="K408" s="21"/>
      <c r="L408" s="21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2.75" customHeight="1">
      <c r="A409" s="18"/>
      <c r="B409" s="18"/>
      <c r="C409" s="18"/>
      <c r="D409" s="21"/>
      <c r="E409" s="20"/>
      <c r="F409" s="20"/>
      <c r="G409" s="18"/>
      <c r="H409" s="21"/>
      <c r="I409" s="21"/>
      <c r="J409" s="21"/>
      <c r="K409" s="21"/>
      <c r="L409" s="21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2.75" customHeight="1">
      <c r="A410" s="18"/>
      <c r="B410" s="18"/>
      <c r="C410" s="18"/>
      <c r="D410" s="21"/>
      <c r="E410" s="20"/>
      <c r="F410" s="20"/>
      <c r="G410" s="18"/>
      <c r="H410" s="21"/>
      <c r="I410" s="21"/>
      <c r="J410" s="21"/>
      <c r="K410" s="21"/>
      <c r="L410" s="21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2.75" customHeight="1">
      <c r="A411" s="18"/>
      <c r="B411" s="18"/>
      <c r="C411" s="18"/>
      <c r="D411" s="21"/>
      <c r="E411" s="20"/>
      <c r="F411" s="20"/>
      <c r="G411" s="18"/>
      <c r="H411" s="21"/>
      <c r="I411" s="21"/>
      <c r="J411" s="21"/>
      <c r="K411" s="21"/>
      <c r="L411" s="21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2.75" customHeight="1">
      <c r="A412" s="18"/>
      <c r="B412" s="18"/>
      <c r="C412" s="18"/>
      <c r="D412" s="21"/>
      <c r="E412" s="20"/>
      <c r="F412" s="20"/>
      <c r="G412" s="18"/>
      <c r="H412" s="21"/>
      <c r="I412" s="21"/>
      <c r="J412" s="21"/>
      <c r="K412" s="21"/>
      <c r="L412" s="21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2.75" customHeight="1">
      <c r="A413" s="18"/>
      <c r="B413" s="18"/>
      <c r="C413" s="18"/>
      <c r="D413" s="21"/>
      <c r="E413" s="20"/>
      <c r="F413" s="20"/>
      <c r="G413" s="18"/>
      <c r="H413" s="21"/>
      <c r="I413" s="21"/>
      <c r="J413" s="21"/>
      <c r="K413" s="21"/>
      <c r="L413" s="21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2.75" customHeight="1">
      <c r="A414" s="18"/>
      <c r="B414" s="18"/>
      <c r="C414" s="18"/>
      <c r="D414" s="21"/>
      <c r="E414" s="20"/>
      <c r="F414" s="20"/>
      <c r="G414" s="18"/>
      <c r="H414" s="21"/>
      <c r="I414" s="21"/>
      <c r="J414" s="21"/>
      <c r="K414" s="21"/>
      <c r="L414" s="21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2.75" customHeight="1">
      <c r="A415" s="18"/>
      <c r="B415" s="18"/>
      <c r="C415" s="18"/>
      <c r="D415" s="21"/>
      <c r="E415" s="20"/>
      <c r="F415" s="20"/>
      <c r="G415" s="18"/>
      <c r="H415" s="21"/>
      <c r="I415" s="21"/>
      <c r="J415" s="21"/>
      <c r="K415" s="21"/>
      <c r="L415" s="21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2.75" customHeight="1">
      <c r="A416" s="18"/>
      <c r="B416" s="18"/>
      <c r="C416" s="18"/>
      <c r="D416" s="21"/>
      <c r="E416" s="20"/>
      <c r="F416" s="20"/>
      <c r="G416" s="18"/>
      <c r="H416" s="21"/>
      <c r="I416" s="21"/>
      <c r="J416" s="21"/>
      <c r="K416" s="21"/>
      <c r="L416" s="21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2.75" customHeight="1">
      <c r="A417" s="18"/>
      <c r="B417" s="18"/>
      <c r="C417" s="18"/>
      <c r="D417" s="21"/>
      <c r="E417" s="20"/>
      <c r="F417" s="20"/>
      <c r="G417" s="18"/>
      <c r="H417" s="21"/>
      <c r="I417" s="21"/>
      <c r="J417" s="21"/>
      <c r="K417" s="21"/>
      <c r="L417" s="21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2.75" customHeight="1">
      <c r="A418" s="18"/>
      <c r="B418" s="18"/>
      <c r="C418" s="18"/>
      <c r="D418" s="21"/>
      <c r="E418" s="20"/>
      <c r="F418" s="20"/>
      <c r="G418" s="18"/>
      <c r="H418" s="21"/>
      <c r="I418" s="21"/>
      <c r="J418" s="21"/>
      <c r="K418" s="21"/>
      <c r="L418" s="21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2.75" customHeight="1">
      <c r="A419" s="18"/>
      <c r="B419" s="18"/>
      <c r="C419" s="18"/>
      <c r="D419" s="21"/>
      <c r="E419" s="20"/>
      <c r="F419" s="20"/>
      <c r="G419" s="18"/>
      <c r="H419" s="21"/>
      <c r="I419" s="21"/>
      <c r="J419" s="21"/>
      <c r="K419" s="21"/>
      <c r="L419" s="21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2.75" customHeight="1">
      <c r="A420" s="18"/>
      <c r="B420" s="18"/>
      <c r="C420" s="18"/>
      <c r="D420" s="21"/>
      <c r="E420" s="20"/>
      <c r="F420" s="20"/>
      <c r="G420" s="18"/>
      <c r="H420" s="21"/>
      <c r="I420" s="21"/>
      <c r="J420" s="21"/>
      <c r="K420" s="21"/>
      <c r="L420" s="21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2.75" customHeight="1">
      <c r="A421" s="18"/>
      <c r="B421" s="18"/>
      <c r="C421" s="18"/>
      <c r="D421" s="21"/>
      <c r="E421" s="20"/>
      <c r="F421" s="20"/>
      <c r="G421" s="18"/>
      <c r="H421" s="21"/>
      <c r="I421" s="21"/>
      <c r="J421" s="21"/>
      <c r="K421" s="21"/>
      <c r="L421" s="21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2.75" customHeight="1">
      <c r="A422" s="18"/>
      <c r="B422" s="18"/>
      <c r="C422" s="18"/>
      <c r="D422" s="21"/>
      <c r="E422" s="20"/>
      <c r="F422" s="20"/>
      <c r="G422" s="18"/>
      <c r="H422" s="21"/>
      <c r="I422" s="21"/>
      <c r="J422" s="21"/>
      <c r="K422" s="21"/>
      <c r="L422" s="21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2.75" customHeight="1">
      <c r="A423" s="18"/>
      <c r="B423" s="18"/>
      <c r="C423" s="18"/>
      <c r="D423" s="21"/>
      <c r="E423" s="20"/>
      <c r="F423" s="20"/>
      <c r="G423" s="18"/>
      <c r="H423" s="21"/>
      <c r="I423" s="21"/>
      <c r="J423" s="21"/>
      <c r="K423" s="21"/>
      <c r="L423" s="21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2.75" customHeight="1">
      <c r="A424" s="18"/>
      <c r="B424" s="18"/>
      <c r="C424" s="18"/>
      <c r="D424" s="21"/>
      <c r="E424" s="20"/>
      <c r="F424" s="20"/>
      <c r="G424" s="18"/>
      <c r="H424" s="21"/>
      <c r="I424" s="21"/>
      <c r="J424" s="21"/>
      <c r="K424" s="21"/>
      <c r="L424" s="21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2.75" customHeight="1">
      <c r="A425" s="18"/>
      <c r="B425" s="18"/>
      <c r="C425" s="18"/>
      <c r="D425" s="21"/>
      <c r="E425" s="20"/>
      <c r="F425" s="20"/>
      <c r="G425" s="18"/>
      <c r="H425" s="21"/>
      <c r="I425" s="21"/>
      <c r="J425" s="21"/>
      <c r="K425" s="21"/>
      <c r="L425" s="21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2.75" customHeight="1">
      <c r="A426" s="18"/>
      <c r="B426" s="18"/>
      <c r="C426" s="18"/>
      <c r="D426" s="21"/>
      <c r="E426" s="20"/>
      <c r="F426" s="20"/>
      <c r="G426" s="18"/>
      <c r="H426" s="21"/>
      <c r="I426" s="21"/>
      <c r="J426" s="21"/>
      <c r="K426" s="21"/>
      <c r="L426" s="21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2.75" customHeight="1">
      <c r="A427" s="18"/>
      <c r="B427" s="18"/>
      <c r="C427" s="18"/>
      <c r="D427" s="21"/>
      <c r="E427" s="20"/>
      <c r="F427" s="20"/>
      <c r="G427" s="18"/>
      <c r="H427" s="21"/>
      <c r="I427" s="21"/>
      <c r="J427" s="21"/>
      <c r="K427" s="21"/>
      <c r="L427" s="21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2.75" customHeight="1">
      <c r="A428" s="18"/>
      <c r="B428" s="18"/>
      <c r="C428" s="18"/>
      <c r="D428" s="21"/>
      <c r="E428" s="20"/>
      <c r="F428" s="20"/>
      <c r="G428" s="18"/>
      <c r="H428" s="21"/>
      <c r="I428" s="21"/>
      <c r="J428" s="21"/>
      <c r="K428" s="21"/>
      <c r="L428" s="21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2.75" customHeight="1">
      <c r="A429" s="18"/>
      <c r="B429" s="18"/>
      <c r="C429" s="18"/>
      <c r="D429" s="21"/>
      <c r="E429" s="20"/>
      <c r="F429" s="20"/>
      <c r="G429" s="18"/>
      <c r="H429" s="21"/>
      <c r="I429" s="21"/>
      <c r="J429" s="21"/>
      <c r="K429" s="21"/>
      <c r="L429" s="21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2.75" customHeight="1">
      <c r="A430" s="18"/>
      <c r="B430" s="18"/>
      <c r="C430" s="18"/>
      <c r="D430" s="21"/>
      <c r="E430" s="20"/>
      <c r="F430" s="20"/>
      <c r="G430" s="18"/>
      <c r="H430" s="21"/>
      <c r="I430" s="21"/>
      <c r="J430" s="21"/>
      <c r="K430" s="21"/>
      <c r="L430" s="21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2.75" customHeight="1">
      <c r="A431" s="18"/>
      <c r="B431" s="18"/>
      <c r="C431" s="18"/>
      <c r="D431" s="21"/>
      <c r="E431" s="20"/>
      <c r="F431" s="20"/>
      <c r="G431" s="18"/>
      <c r="H431" s="21"/>
      <c r="I431" s="21"/>
      <c r="J431" s="21"/>
      <c r="K431" s="21"/>
      <c r="L431" s="21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2.75" customHeight="1">
      <c r="A432" s="18"/>
      <c r="B432" s="18"/>
      <c r="C432" s="18"/>
      <c r="D432" s="21"/>
      <c r="E432" s="20"/>
      <c r="F432" s="20"/>
      <c r="G432" s="18"/>
      <c r="H432" s="21"/>
      <c r="I432" s="21"/>
      <c r="J432" s="21"/>
      <c r="K432" s="21"/>
      <c r="L432" s="21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2.75" customHeight="1">
      <c r="A433" s="18"/>
      <c r="B433" s="18"/>
      <c r="C433" s="18"/>
      <c r="D433" s="21"/>
      <c r="E433" s="20"/>
      <c r="F433" s="20"/>
      <c r="G433" s="18"/>
      <c r="H433" s="21"/>
      <c r="I433" s="21"/>
      <c r="J433" s="21"/>
      <c r="K433" s="21"/>
      <c r="L433" s="21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2.75" customHeight="1">
      <c r="A434" s="18"/>
      <c r="B434" s="18"/>
      <c r="C434" s="18"/>
      <c r="D434" s="21"/>
      <c r="E434" s="20"/>
      <c r="F434" s="20"/>
      <c r="G434" s="18"/>
      <c r="H434" s="21"/>
      <c r="I434" s="21"/>
      <c r="J434" s="21"/>
      <c r="K434" s="21"/>
      <c r="L434" s="21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2.75" customHeight="1">
      <c r="A435" s="18"/>
      <c r="B435" s="18"/>
      <c r="C435" s="18"/>
      <c r="D435" s="21"/>
      <c r="E435" s="20"/>
      <c r="F435" s="20"/>
      <c r="G435" s="18"/>
      <c r="H435" s="21"/>
      <c r="I435" s="21"/>
      <c r="J435" s="21"/>
      <c r="K435" s="21"/>
      <c r="L435" s="21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2.75" customHeight="1">
      <c r="A436" s="18"/>
      <c r="B436" s="18"/>
      <c r="C436" s="18"/>
      <c r="D436" s="21"/>
      <c r="E436" s="20"/>
      <c r="F436" s="20"/>
      <c r="G436" s="18"/>
      <c r="H436" s="21"/>
      <c r="I436" s="21"/>
      <c r="J436" s="21"/>
      <c r="K436" s="21"/>
      <c r="L436" s="21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2.75" customHeight="1">
      <c r="A437" s="18"/>
      <c r="B437" s="18"/>
      <c r="C437" s="18"/>
      <c r="D437" s="21"/>
      <c r="E437" s="20"/>
      <c r="F437" s="20"/>
      <c r="G437" s="18"/>
      <c r="H437" s="21"/>
      <c r="I437" s="21"/>
      <c r="J437" s="21"/>
      <c r="K437" s="21"/>
      <c r="L437" s="21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2.75" customHeight="1">
      <c r="A438" s="18"/>
      <c r="B438" s="18"/>
      <c r="C438" s="18"/>
      <c r="D438" s="21"/>
      <c r="E438" s="20"/>
      <c r="F438" s="20"/>
      <c r="G438" s="18"/>
      <c r="H438" s="21"/>
      <c r="I438" s="21"/>
      <c r="J438" s="21"/>
      <c r="K438" s="21"/>
      <c r="L438" s="21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2.75" customHeight="1">
      <c r="A439" s="18"/>
      <c r="B439" s="18"/>
      <c r="C439" s="18"/>
      <c r="D439" s="21"/>
      <c r="E439" s="20"/>
      <c r="F439" s="20"/>
      <c r="G439" s="18"/>
      <c r="H439" s="21"/>
      <c r="I439" s="21"/>
      <c r="J439" s="21"/>
      <c r="K439" s="21"/>
      <c r="L439" s="21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2.75" customHeight="1">
      <c r="A440" s="18"/>
      <c r="B440" s="18"/>
      <c r="C440" s="18"/>
      <c r="D440" s="21"/>
      <c r="E440" s="20"/>
      <c r="F440" s="20"/>
      <c r="G440" s="18"/>
      <c r="H440" s="21"/>
      <c r="I440" s="21"/>
      <c r="J440" s="21"/>
      <c r="K440" s="21"/>
      <c r="L440" s="21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2.75" customHeight="1">
      <c r="A441" s="18"/>
      <c r="B441" s="18"/>
      <c r="C441" s="18"/>
      <c r="D441" s="21"/>
      <c r="E441" s="20"/>
      <c r="F441" s="20"/>
      <c r="G441" s="18"/>
      <c r="H441" s="21"/>
      <c r="I441" s="21"/>
      <c r="J441" s="21"/>
      <c r="K441" s="21"/>
      <c r="L441" s="21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2.75" customHeight="1">
      <c r="A442" s="18"/>
      <c r="B442" s="18"/>
      <c r="C442" s="18"/>
      <c r="D442" s="21"/>
      <c r="E442" s="20"/>
      <c r="F442" s="20"/>
      <c r="G442" s="18"/>
      <c r="H442" s="21"/>
      <c r="I442" s="21"/>
      <c r="J442" s="21"/>
      <c r="K442" s="21"/>
      <c r="L442" s="21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2.75" customHeight="1">
      <c r="A443" s="18"/>
      <c r="B443" s="18"/>
      <c r="C443" s="18"/>
      <c r="D443" s="21"/>
      <c r="E443" s="20"/>
      <c r="F443" s="20"/>
      <c r="G443" s="18"/>
      <c r="H443" s="21"/>
      <c r="I443" s="21"/>
      <c r="J443" s="21"/>
      <c r="K443" s="21"/>
      <c r="L443" s="21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2.75" customHeight="1">
      <c r="A444" s="18"/>
      <c r="B444" s="18"/>
      <c r="C444" s="18"/>
      <c r="D444" s="21"/>
      <c r="E444" s="20"/>
      <c r="F444" s="20"/>
      <c r="G444" s="18"/>
      <c r="H444" s="21"/>
      <c r="I444" s="21"/>
      <c r="J444" s="21"/>
      <c r="K444" s="21"/>
      <c r="L444" s="21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2.75" customHeight="1">
      <c r="A445" s="18"/>
      <c r="B445" s="18"/>
      <c r="C445" s="18"/>
      <c r="D445" s="21"/>
      <c r="E445" s="20"/>
      <c r="F445" s="20"/>
      <c r="G445" s="18"/>
      <c r="H445" s="21"/>
      <c r="I445" s="21"/>
      <c r="J445" s="21"/>
      <c r="K445" s="21"/>
      <c r="L445" s="21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2.75" customHeight="1">
      <c r="A446" s="18"/>
      <c r="B446" s="18"/>
      <c r="C446" s="18"/>
      <c r="D446" s="21"/>
      <c r="E446" s="20"/>
      <c r="F446" s="20"/>
      <c r="G446" s="18"/>
      <c r="H446" s="21"/>
      <c r="I446" s="21"/>
      <c r="J446" s="21"/>
      <c r="K446" s="21"/>
      <c r="L446" s="21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2.75" customHeight="1">
      <c r="A447" s="18"/>
      <c r="B447" s="18"/>
      <c r="C447" s="18"/>
      <c r="D447" s="21"/>
      <c r="E447" s="20"/>
      <c r="F447" s="20"/>
      <c r="G447" s="18"/>
      <c r="H447" s="21"/>
      <c r="I447" s="21"/>
      <c r="J447" s="21"/>
      <c r="K447" s="21"/>
      <c r="L447" s="21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2.75" customHeight="1">
      <c r="A448" s="18"/>
      <c r="B448" s="18"/>
      <c r="C448" s="18"/>
      <c r="D448" s="21"/>
      <c r="E448" s="20"/>
      <c r="F448" s="20"/>
      <c r="G448" s="18"/>
      <c r="H448" s="21"/>
      <c r="I448" s="21"/>
      <c r="J448" s="21"/>
      <c r="K448" s="21"/>
      <c r="L448" s="21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2.75" customHeight="1">
      <c r="A449" s="18"/>
      <c r="B449" s="18"/>
      <c r="C449" s="18"/>
      <c r="D449" s="21"/>
      <c r="E449" s="20"/>
      <c r="F449" s="20"/>
      <c r="G449" s="18"/>
      <c r="H449" s="21"/>
      <c r="I449" s="21"/>
      <c r="J449" s="21"/>
      <c r="K449" s="21"/>
      <c r="L449" s="21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2.75" customHeight="1">
      <c r="A450" s="18"/>
      <c r="B450" s="18"/>
      <c r="C450" s="18"/>
      <c r="D450" s="21"/>
      <c r="E450" s="20"/>
      <c r="F450" s="20"/>
      <c r="G450" s="18"/>
      <c r="H450" s="21"/>
      <c r="I450" s="21"/>
      <c r="J450" s="21"/>
      <c r="K450" s="21"/>
      <c r="L450" s="21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2.75" customHeight="1">
      <c r="A451" s="18"/>
      <c r="B451" s="18"/>
      <c r="C451" s="18"/>
      <c r="D451" s="21"/>
      <c r="E451" s="20"/>
      <c r="F451" s="20"/>
      <c r="G451" s="18"/>
      <c r="H451" s="21"/>
      <c r="I451" s="21"/>
      <c r="J451" s="21"/>
      <c r="K451" s="21"/>
      <c r="L451" s="21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2.75" customHeight="1">
      <c r="A452" s="18"/>
      <c r="B452" s="18"/>
      <c r="C452" s="18"/>
      <c r="D452" s="21"/>
      <c r="E452" s="20"/>
      <c r="F452" s="20"/>
      <c r="G452" s="18"/>
      <c r="H452" s="21"/>
      <c r="I452" s="21"/>
      <c r="J452" s="21"/>
      <c r="K452" s="21"/>
      <c r="L452" s="21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2.75" customHeight="1">
      <c r="A453" s="18"/>
      <c r="B453" s="18"/>
      <c r="C453" s="18"/>
      <c r="D453" s="21"/>
      <c r="E453" s="20"/>
      <c r="F453" s="20"/>
      <c r="G453" s="18"/>
      <c r="H453" s="21"/>
      <c r="I453" s="21"/>
      <c r="J453" s="21"/>
      <c r="K453" s="21"/>
      <c r="L453" s="21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2.75" customHeight="1">
      <c r="A454" s="18"/>
      <c r="B454" s="18"/>
      <c r="C454" s="18"/>
      <c r="D454" s="21"/>
      <c r="E454" s="20"/>
      <c r="F454" s="20"/>
      <c r="G454" s="18"/>
      <c r="H454" s="21"/>
      <c r="I454" s="21"/>
      <c r="J454" s="21"/>
      <c r="K454" s="21"/>
      <c r="L454" s="21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2.75" customHeight="1">
      <c r="A455" s="18"/>
      <c r="B455" s="18"/>
      <c r="C455" s="18"/>
      <c r="D455" s="21"/>
      <c r="E455" s="20"/>
      <c r="F455" s="20"/>
      <c r="G455" s="18"/>
      <c r="H455" s="21"/>
      <c r="I455" s="21"/>
      <c r="J455" s="21"/>
      <c r="K455" s="21"/>
      <c r="L455" s="21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2.75" customHeight="1">
      <c r="A456" s="18"/>
      <c r="B456" s="18"/>
      <c r="C456" s="18"/>
      <c r="D456" s="21"/>
      <c r="E456" s="20"/>
      <c r="F456" s="20"/>
      <c r="G456" s="18"/>
      <c r="H456" s="21"/>
      <c r="I456" s="21"/>
      <c r="J456" s="21"/>
      <c r="K456" s="21"/>
      <c r="L456" s="21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2.75" customHeight="1">
      <c r="A457" s="18"/>
      <c r="B457" s="18"/>
      <c r="C457" s="18"/>
      <c r="D457" s="21"/>
      <c r="E457" s="20"/>
      <c r="F457" s="20"/>
      <c r="G457" s="18"/>
      <c r="H457" s="21"/>
      <c r="I457" s="21"/>
      <c r="J457" s="21"/>
      <c r="K457" s="21"/>
      <c r="L457" s="21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2.75" customHeight="1">
      <c r="A458" s="18"/>
      <c r="B458" s="18"/>
      <c r="C458" s="18"/>
      <c r="D458" s="21"/>
      <c r="E458" s="20"/>
      <c r="F458" s="20"/>
      <c r="G458" s="18"/>
      <c r="H458" s="21"/>
      <c r="I458" s="21"/>
      <c r="J458" s="21"/>
      <c r="K458" s="21"/>
      <c r="L458" s="21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2.75" customHeight="1">
      <c r="A459" s="18"/>
      <c r="B459" s="18"/>
      <c r="C459" s="18"/>
      <c r="D459" s="21"/>
      <c r="E459" s="20"/>
      <c r="F459" s="20"/>
      <c r="G459" s="18"/>
      <c r="H459" s="21"/>
      <c r="I459" s="21"/>
      <c r="J459" s="21"/>
      <c r="K459" s="21"/>
      <c r="L459" s="21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2.75" customHeight="1">
      <c r="A460" s="18"/>
      <c r="B460" s="18"/>
      <c r="C460" s="18"/>
      <c r="D460" s="21"/>
      <c r="E460" s="20"/>
      <c r="F460" s="20"/>
      <c r="G460" s="18"/>
      <c r="H460" s="21"/>
      <c r="I460" s="21"/>
      <c r="J460" s="21"/>
      <c r="K460" s="21"/>
      <c r="L460" s="21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2.75" customHeight="1">
      <c r="A461" s="18"/>
      <c r="B461" s="18"/>
      <c r="C461" s="18"/>
      <c r="D461" s="21"/>
      <c r="E461" s="20"/>
      <c r="F461" s="20"/>
      <c r="G461" s="18"/>
      <c r="H461" s="21"/>
      <c r="I461" s="21"/>
      <c r="J461" s="21"/>
      <c r="K461" s="21"/>
      <c r="L461" s="21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2.75" customHeight="1">
      <c r="A462" s="18"/>
      <c r="B462" s="18"/>
      <c r="C462" s="18"/>
      <c r="D462" s="21"/>
      <c r="E462" s="20"/>
      <c r="F462" s="20"/>
      <c r="G462" s="18"/>
      <c r="H462" s="21"/>
      <c r="I462" s="21"/>
      <c r="J462" s="21"/>
      <c r="K462" s="21"/>
      <c r="L462" s="21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2.75" customHeight="1">
      <c r="A463" s="18"/>
      <c r="B463" s="18"/>
      <c r="C463" s="18"/>
      <c r="D463" s="21"/>
      <c r="E463" s="20"/>
      <c r="F463" s="20"/>
      <c r="G463" s="18"/>
      <c r="H463" s="21"/>
      <c r="I463" s="21"/>
      <c r="J463" s="21"/>
      <c r="K463" s="21"/>
      <c r="L463" s="21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2.75" customHeight="1">
      <c r="A464" s="18"/>
      <c r="B464" s="18"/>
      <c r="C464" s="18"/>
      <c r="D464" s="21"/>
      <c r="E464" s="20"/>
      <c r="F464" s="20"/>
      <c r="G464" s="18"/>
      <c r="H464" s="21"/>
      <c r="I464" s="21"/>
      <c r="J464" s="21"/>
      <c r="K464" s="21"/>
      <c r="L464" s="21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2.75" customHeight="1">
      <c r="A465" s="18"/>
      <c r="B465" s="18"/>
      <c r="C465" s="18"/>
      <c r="D465" s="21"/>
      <c r="E465" s="20"/>
      <c r="F465" s="20"/>
      <c r="G465" s="18"/>
      <c r="H465" s="21"/>
      <c r="I465" s="21"/>
      <c r="J465" s="21"/>
      <c r="K465" s="21"/>
      <c r="L465" s="21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2.75" customHeight="1">
      <c r="A466" s="18"/>
      <c r="B466" s="18"/>
      <c r="C466" s="18"/>
      <c r="D466" s="21"/>
      <c r="E466" s="20"/>
      <c r="F466" s="20"/>
      <c r="G466" s="18"/>
      <c r="H466" s="21"/>
      <c r="I466" s="21"/>
      <c r="J466" s="21"/>
      <c r="K466" s="21"/>
      <c r="L466" s="21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2.75" customHeight="1">
      <c r="A467" s="18"/>
      <c r="B467" s="18"/>
      <c r="C467" s="18"/>
      <c r="D467" s="21"/>
      <c r="E467" s="20"/>
      <c r="F467" s="20"/>
      <c r="G467" s="18"/>
      <c r="H467" s="21"/>
      <c r="I467" s="21"/>
      <c r="J467" s="21"/>
      <c r="K467" s="21"/>
      <c r="L467" s="21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2.75" customHeight="1">
      <c r="A468" s="18"/>
      <c r="B468" s="18"/>
      <c r="C468" s="18"/>
      <c r="D468" s="21"/>
      <c r="E468" s="20"/>
      <c r="F468" s="20"/>
      <c r="G468" s="18"/>
      <c r="H468" s="21"/>
      <c r="I468" s="21"/>
      <c r="J468" s="21"/>
      <c r="K468" s="21"/>
      <c r="L468" s="21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2.75" customHeight="1">
      <c r="A469" s="18"/>
      <c r="B469" s="18"/>
      <c r="C469" s="18"/>
      <c r="D469" s="21"/>
      <c r="E469" s="20"/>
      <c r="F469" s="20"/>
      <c r="G469" s="18"/>
      <c r="H469" s="21"/>
      <c r="I469" s="21"/>
      <c r="J469" s="21"/>
      <c r="K469" s="21"/>
      <c r="L469" s="21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2.75" customHeight="1">
      <c r="A470" s="18"/>
      <c r="B470" s="18"/>
      <c r="C470" s="18"/>
      <c r="D470" s="21"/>
      <c r="E470" s="20"/>
      <c r="F470" s="20"/>
      <c r="G470" s="18"/>
      <c r="H470" s="21"/>
      <c r="I470" s="21"/>
      <c r="J470" s="21"/>
      <c r="K470" s="21"/>
      <c r="L470" s="21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2.75" customHeight="1">
      <c r="A471" s="18"/>
      <c r="B471" s="18"/>
      <c r="C471" s="18"/>
      <c r="D471" s="21"/>
      <c r="E471" s="20"/>
      <c r="F471" s="20"/>
      <c r="G471" s="18"/>
      <c r="H471" s="21"/>
      <c r="I471" s="21"/>
      <c r="J471" s="21"/>
      <c r="K471" s="21"/>
      <c r="L471" s="21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2.75" customHeight="1">
      <c r="A472" s="18"/>
      <c r="B472" s="18"/>
      <c r="C472" s="18"/>
      <c r="D472" s="21"/>
      <c r="E472" s="20"/>
      <c r="F472" s="20"/>
      <c r="G472" s="18"/>
      <c r="H472" s="21"/>
      <c r="I472" s="21"/>
      <c r="J472" s="21"/>
      <c r="K472" s="21"/>
      <c r="L472" s="21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2.75" customHeight="1">
      <c r="A473" s="18"/>
      <c r="B473" s="18"/>
      <c r="C473" s="18"/>
      <c r="D473" s="21"/>
      <c r="E473" s="20"/>
      <c r="F473" s="20"/>
      <c r="G473" s="18"/>
      <c r="H473" s="21"/>
      <c r="I473" s="21"/>
      <c r="J473" s="21"/>
      <c r="K473" s="21"/>
      <c r="L473" s="21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2.75" customHeight="1">
      <c r="A474" s="18"/>
      <c r="B474" s="18"/>
      <c r="C474" s="18"/>
      <c r="D474" s="21"/>
      <c r="E474" s="20"/>
      <c r="F474" s="20"/>
      <c r="G474" s="18"/>
      <c r="H474" s="21"/>
      <c r="I474" s="21"/>
      <c r="J474" s="21"/>
      <c r="K474" s="21"/>
      <c r="L474" s="21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2.75" customHeight="1">
      <c r="A475" s="18"/>
      <c r="B475" s="18"/>
      <c r="C475" s="18"/>
      <c r="D475" s="21"/>
      <c r="E475" s="20"/>
      <c r="F475" s="20"/>
      <c r="G475" s="18"/>
      <c r="H475" s="21"/>
      <c r="I475" s="21"/>
      <c r="J475" s="21"/>
      <c r="K475" s="21"/>
      <c r="L475" s="21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2.75" customHeight="1">
      <c r="A476" s="18"/>
      <c r="B476" s="18"/>
      <c r="C476" s="18"/>
      <c r="D476" s="21"/>
      <c r="E476" s="20"/>
      <c r="F476" s="20"/>
      <c r="G476" s="18"/>
      <c r="H476" s="21"/>
      <c r="I476" s="21"/>
      <c r="J476" s="21"/>
      <c r="K476" s="21"/>
      <c r="L476" s="21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2.75" customHeight="1">
      <c r="A477" s="18"/>
      <c r="B477" s="18"/>
      <c r="C477" s="18"/>
      <c r="D477" s="21"/>
      <c r="E477" s="20"/>
      <c r="F477" s="20"/>
      <c r="G477" s="18"/>
      <c r="H477" s="21"/>
      <c r="I477" s="21"/>
      <c r="J477" s="21"/>
      <c r="K477" s="21"/>
      <c r="L477" s="21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2.75" customHeight="1">
      <c r="A478" s="18"/>
      <c r="B478" s="18"/>
      <c r="C478" s="18"/>
      <c r="D478" s="21"/>
      <c r="E478" s="20"/>
      <c r="F478" s="20"/>
      <c r="G478" s="18"/>
      <c r="H478" s="21"/>
      <c r="I478" s="21"/>
      <c r="J478" s="21"/>
      <c r="K478" s="21"/>
      <c r="L478" s="21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2.75" customHeight="1">
      <c r="A479" s="18"/>
      <c r="B479" s="18"/>
      <c r="C479" s="18"/>
      <c r="D479" s="21"/>
      <c r="E479" s="20"/>
      <c r="F479" s="20"/>
      <c r="G479" s="18"/>
      <c r="H479" s="21"/>
      <c r="I479" s="21"/>
      <c r="J479" s="21"/>
      <c r="K479" s="21"/>
      <c r="L479" s="21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2.75" customHeight="1">
      <c r="A480" s="18"/>
      <c r="B480" s="18"/>
      <c r="C480" s="18"/>
      <c r="D480" s="21"/>
      <c r="E480" s="20"/>
      <c r="F480" s="20"/>
      <c r="G480" s="18"/>
      <c r="H480" s="21"/>
      <c r="I480" s="21"/>
      <c r="J480" s="21"/>
      <c r="K480" s="21"/>
      <c r="L480" s="21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2.75" customHeight="1">
      <c r="A481" s="18"/>
      <c r="B481" s="18"/>
      <c r="C481" s="18"/>
      <c r="D481" s="21"/>
      <c r="E481" s="20"/>
      <c r="F481" s="20"/>
      <c r="G481" s="18"/>
      <c r="H481" s="21"/>
      <c r="I481" s="21"/>
      <c r="J481" s="21"/>
      <c r="K481" s="21"/>
      <c r="L481" s="21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2.75" customHeight="1">
      <c r="A482" s="18"/>
      <c r="B482" s="18"/>
      <c r="C482" s="18"/>
      <c r="D482" s="21"/>
      <c r="E482" s="20"/>
      <c r="F482" s="20"/>
      <c r="G482" s="18"/>
      <c r="H482" s="21"/>
      <c r="I482" s="21"/>
      <c r="J482" s="21"/>
      <c r="K482" s="21"/>
      <c r="L482" s="21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2.75" customHeight="1">
      <c r="A483" s="18"/>
      <c r="B483" s="18"/>
      <c r="C483" s="18"/>
      <c r="D483" s="21"/>
      <c r="E483" s="20"/>
      <c r="F483" s="20"/>
      <c r="G483" s="18"/>
      <c r="H483" s="21"/>
      <c r="I483" s="21"/>
      <c r="J483" s="21"/>
      <c r="K483" s="21"/>
      <c r="L483" s="21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2.75" customHeight="1">
      <c r="A484" s="18"/>
      <c r="B484" s="18"/>
      <c r="C484" s="18"/>
      <c r="D484" s="21"/>
      <c r="E484" s="20"/>
      <c r="F484" s="20"/>
      <c r="G484" s="18"/>
      <c r="H484" s="21"/>
      <c r="I484" s="21"/>
      <c r="J484" s="21"/>
      <c r="K484" s="21"/>
      <c r="L484" s="21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2.75" customHeight="1">
      <c r="A485" s="18"/>
      <c r="B485" s="18"/>
      <c r="C485" s="18"/>
      <c r="D485" s="21"/>
      <c r="E485" s="20"/>
      <c r="F485" s="20"/>
      <c r="G485" s="18"/>
      <c r="H485" s="21"/>
      <c r="I485" s="21"/>
      <c r="J485" s="21"/>
      <c r="K485" s="21"/>
      <c r="L485" s="21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2.75" customHeight="1">
      <c r="A486" s="18"/>
      <c r="B486" s="18"/>
      <c r="C486" s="18"/>
      <c r="D486" s="21"/>
      <c r="E486" s="20"/>
      <c r="F486" s="20"/>
      <c r="G486" s="18"/>
      <c r="H486" s="21"/>
      <c r="I486" s="21"/>
      <c r="J486" s="21"/>
      <c r="K486" s="21"/>
      <c r="L486" s="21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2.75" customHeight="1">
      <c r="A487" s="18"/>
      <c r="B487" s="18"/>
      <c r="C487" s="18"/>
      <c r="D487" s="21"/>
      <c r="E487" s="20"/>
      <c r="F487" s="20"/>
      <c r="G487" s="18"/>
      <c r="H487" s="21"/>
      <c r="I487" s="21"/>
      <c r="J487" s="21"/>
      <c r="K487" s="21"/>
      <c r="L487" s="21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2.75" customHeight="1">
      <c r="A488" s="18"/>
      <c r="B488" s="18"/>
      <c r="C488" s="18"/>
      <c r="D488" s="21"/>
      <c r="E488" s="20"/>
      <c r="F488" s="20"/>
      <c r="G488" s="18"/>
      <c r="H488" s="21"/>
      <c r="I488" s="21"/>
      <c r="J488" s="21"/>
      <c r="K488" s="21"/>
      <c r="L488" s="21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2.75" customHeight="1">
      <c r="A489" s="18"/>
      <c r="B489" s="18"/>
      <c r="C489" s="18"/>
      <c r="D489" s="21"/>
      <c r="E489" s="20"/>
      <c r="F489" s="20"/>
      <c r="G489" s="18"/>
      <c r="H489" s="21"/>
      <c r="I489" s="21"/>
      <c r="J489" s="21"/>
      <c r="K489" s="21"/>
      <c r="L489" s="21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2.75" customHeight="1">
      <c r="A490" s="18"/>
      <c r="B490" s="18"/>
      <c r="C490" s="18"/>
      <c r="D490" s="21"/>
      <c r="E490" s="20"/>
      <c r="F490" s="20"/>
      <c r="G490" s="18"/>
      <c r="H490" s="21"/>
      <c r="I490" s="21"/>
      <c r="J490" s="21"/>
      <c r="K490" s="21"/>
      <c r="L490" s="21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2.75" customHeight="1">
      <c r="A491" s="18"/>
      <c r="B491" s="18"/>
      <c r="C491" s="18"/>
      <c r="D491" s="21"/>
      <c r="E491" s="20"/>
      <c r="F491" s="20"/>
      <c r="G491" s="18"/>
      <c r="H491" s="21"/>
      <c r="I491" s="21"/>
      <c r="J491" s="21"/>
      <c r="K491" s="21"/>
      <c r="L491" s="21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2.75" customHeight="1">
      <c r="A492" s="18"/>
      <c r="B492" s="18"/>
      <c r="C492" s="18"/>
      <c r="D492" s="21"/>
      <c r="E492" s="20"/>
      <c r="F492" s="20"/>
      <c r="G492" s="18"/>
      <c r="H492" s="21"/>
      <c r="I492" s="21"/>
      <c r="J492" s="21"/>
      <c r="K492" s="21"/>
      <c r="L492" s="21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2.75" customHeight="1">
      <c r="A493" s="18"/>
      <c r="B493" s="18"/>
      <c r="C493" s="18"/>
      <c r="D493" s="21"/>
      <c r="E493" s="20"/>
      <c r="F493" s="20"/>
      <c r="G493" s="18"/>
      <c r="H493" s="21"/>
      <c r="I493" s="21"/>
      <c r="J493" s="21"/>
      <c r="K493" s="21"/>
      <c r="L493" s="21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2.75" customHeight="1">
      <c r="A494" s="18"/>
      <c r="B494" s="18"/>
      <c r="C494" s="18"/>
      <c r="D494" s="21"/>
      <c r="E494" s="20"/>
      <c r="F494" s="20"/>
      <c r="G494" s="18"/>
      <c r="H494" s="21"/>
      <c r="I494" s="21"/>
      <c r="J494" s="21"/>
      <c r="K494" s="21"/>
      <c r="L494" s="21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2.75" customHeight="1">
      <c r="A495" s="18"/>
      <c r="B495" s="18"/>
      <c r="C495" s="18"/>
      <c r="D495" s="21"/>
      <c r="E495" s="20"/>
      <c r="F495" s="20"/>
      <c r="G495" s="18"/>
      <c r="H495" s="21"/>
      <c r="I495" s="21"/>
      <c r="J495" s="21"/>
      <c r="K495" s="21"/>
      <c r="L495" s="21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2.75" customHeight="1">
      <c r="A496" s="18"/>
      <c r="B496" s="18"/>
      <c r="C496" s="18"/>
      <c r="D496" s="21"/>
      <c r="E496" s="20"/>
      <c r="F496" s="20"/>
      <c r="G496" s="18"/>
      <c r="H496" s="21"/>
      <c r="I496" s="21"/>
      <c r="J496" s="21"/>
      <c r="K496" s="21"/>
      <c r="L496" s="21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2.75" customHeight="1">
      <c r="A497" s="18"/>
      <c r="B497" s="18"/>
      <c r="C497" s="18"/>
      <c r="D497" s="21"/>
      <c r="E497" s="20"/>
      <c r="F497" s="20"/>
      <c r="G497" s="18"/>
      <c r="H497" s="21"/>
      <c r="I497" s="21"/>
      <c r="J497" s="21"/>
      <c r="K497" s="21"/>
      <c r="L497" s="21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2.75" customHeight="1">
      <c r="A498" s="18"/>
      <c r="B498" s="18"/>
      <c r="C498" s="18"/>
      <c r="D498" s="21"/>
      <c r="E498" s="20"/>
      <c r="F498" s="20"/>
      <c r="G498" s="18"/>
      <c r="H498" s="21"/>
      <c r="I498" s="21"/>
      <c r="J498" s="21"/>
      <c r="K498" s="21"/>
      <c r="L498" s="21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2.75" customHeight="1">
      <c r="A499" s="18"/>
      <c r="B499" s="18"/>
      <c r="C499" s="18"/>
      <c r="D499" s="21"/>
      <c r="E499" s="20"/>
      <c r="F499" s="20"/>
      <c r="G499" s="18"/>
      <c r="H499" s="21"/>
      <c r="I499" s="21"/>
      <c r="J499" s="21"/>
      <c r="K499" s="21"/>
      <c r="L499" s="21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2.75" customHeight="1">
      <c r="A500" s="18"/>
      <c r="B500" s="18"/>
      <c r="C500" s="18"/>
      <c r="D500" s="21"/>
      <c r="E500" s="20"/>
      <c r="F500" s="20"/>
      <c r="G500" s="18"/>
      <c r="H500" s="21"/>
      <c r="I500" s="21"/>
      <c r="J500" s="21"/>
      <c r="K500" s="21"/>
      <c r="L500" s="21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2.75" customHeight="1">
      <c r="A501" s="18"/>
      <c r="B501" s="18"/>
      <c r="C501" s="18"/>
      <c r="D501" s="21"/>
      <c r="E501" s="20"/>
      <c r="F501" s="20"/>
      <c r="G501" s="18"/>
      <c r="H501" s="21"/>
      <c r="I501" s="21"/>
      <c r="J501" s="21"/>
      <c r="K501" s="21"/>
      <c r="L501" s="21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2.75" customHeight="1">
      <c r="A502" s="18"/>
      <c r="B502" s="18"/>
      <c r="C502" s="18"/>
      <c r="D502" s="21"/>
      <c r="E502" s="20"/>
      <c r="F502" s="20"/>
      <c r="G502" s="18"/>
      <c r="H502" s="21"/>
      <c r="I502" s="21"/>
      <c r="J502" s="21"/>
      <c r="K502" s="21"/>
      <c r="L502" s="21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2.75" customHeight="1">
      <c r="A503" s="18"/>
      <c r="B503" s="18"/>
      <c r="C503" s="18"/>
      <c r="D503" s="21"/>
      <c r="E503" s="20"/>
      <c r="F503" s="20"/>
      <c r="G503" s="18"/>
      <c r="H503" s="21"/>
      <c r="I503" s="21"/>
      <c r="J503" s="21"/>
      <c r="K503" s="21"/>
      <c r="L503" s="21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2.75" customHeight="1">
      <c r="A504" s="18"/>
      <c r="B504" s="18"/>
      <c r="C504" s="18"/>
      <c r="D504" s="21"/>
      <c r="E504" s="20"/>
      <c r="F504" s="20"/>
      <c r="G504" s="18"/>
      <c r="H504" s="21"/>
      <c r="I504" s="21"/>
      <c r="J504" s="21"/>
      <c r="K504" s="21"/>
      <c r="L504" s="21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2.75" customHeight="1">
      <c r="A505" s="18"/>
      <c r="B505" s="18"/>
      <c r="C505" s="18"/>
      <c r="D505" s="21"/>
      <c r="E505" s="20"/>
      <c r="F505" s="20"/>
      <c r="G505" s="18"/>
      <c r="H505" s="21"/>
      <c r="I505" s="21"/>
      <c r="J505" s="21"/>
      <c r="K505" s="21"/>
      <c r="L505" s="21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2.75" customHeight="1">
      <c r="A506" s="18"/>
      <c r="B506" s="18"/>
      <c r="C506" s="18"/>
      <c r="D506" s="21"/>
      <c r="E506" s="20"/>
      <c r="F506" s="20"/>
      <c r="G506" s="18"/>
      <c r="H506" s="21"/>
      <c r="I506" s="21"/>
      <c r="J506" s="21"/>
      <c r="K506" s="21"/>
      <c r="L506" s="21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2.75" customHeight="1">
      <c r="A507" s="18"/>
      <c r="B507" s="18"/>
      <c r="C507" s="18"/>
      <c r="D507" s="21"/>
      <c r="E507" s="20"/>
      <c r="F507" s="20"/>
      <c r="G507" s="18"/>
      <c r="H507" s="21"/>
      <c r="I507" s="21"/>
      <c r="J507" s="21"/>
      <c r="K507" s="21"/>
      <c r="L507" s="21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2.75" customHeight="1">
      <c r="A508" s="18"/>
      <c r="B508" s="18"/>
      <c r="C508" s="18"/>
      <c r="D508" s="21"/>
      <c r="E508" s="20"/>
      <c r="F508" s="20"/>
      <c r="G508" s="18"/>
      <c r="H508" s="21"/>
      <c r="I508" s="21"/>
      <c r="J508" s="21"/>
      <c r="K508" s="21"/>
      <c r="L508" s="21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2.75" customHeight="1">
      <c r="A509" s="18"/>
      <c r="B509" s="18"/>
      <c r="C509" s="18"/>
      <c r="D509" s="21"/>
      <c r="E509" s="20"/>
      <c r="F509" s="20"/>
      <c r="G509" s="18"/>
      <c r="H509" s="21"/>
      <c r="I509" s="21"/>
      <c r="J509" s="21"/>
      <c r="K509" s="21"/>
      <c r="L509" s="21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2.75" customHeight="1">
      <c r="A510" s="18"/>
      <c r="B510" s="18"/>
      <c r="C510" s="18"/>
      <c r="D510" s="21"/>
      <c r="E510" s="20"/>
      <c r="F510" s="20"/>
      <c r="G510" s="18"/>
      <c r="H510" s="21"/>
      <c r="I510" s="21"/>
      <c r="J510" s="21"/>
      <c r="K510" s="21"/>
      <c r="L510" s="21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2.75" customHeight="1">
      <c r="A511" s="18"/>
      <c r="B511" s="18"/>
      <c r="C511" s="18"/>
      <c r="D511" s="21"/>
      <c r="E511" s="20"/>
      <c r="F511" s="20"/>
      <c r="G511" s="18"/>
      <c r="H511" s="21"/>
      <c r="I511" s="21"/>
      <c r="J511" s="21"/>
      <c r="K511" s="21"/>
      <c r="L511" s="21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2.75" customHeight="1">
      <c r="A512" s="18"/>
      <c r="B512" s="18"/>
      <c r="C512" s="18"/>
      <c r="D512" s="21"/>
      <c r="E512" s="20"/>
      <c r="F512" s="20"/>
      <c r="G512" s="18"/>
      <c r="H512" s="21"/>
      <c r="I512" s="21"/>
      <c r="J512" s="21"/>
      <c r="K512" s="21"/>
      <c r="L512" s="21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2.75" customHeight="1">
      <c r="A513" s="18"/>
      <c r="B513" s="18"/>
      <c r="C513" s="18"/>
      <c r="D513" s="21"/>
      <c r="E513" s="20"/>
      <c r="F513" s="20"/>
      <c r="G513" s="18"/>
      <c r="H513" s="21"/>
      <c r="I513" s="21"/>
      <c r="J513" s="21"/>
      <c r="K513" s="21"/>
      <c r="L513" s="21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2.75" customHeight="1">
      <c r="A514" s="18"/>
      <c r="B514" s="18"/>
      <c r="C514" s="18"/>
      <c r="D514" s="21"/>
      <c r="E514" s="20"/>
      <c r="F514" s="20"/>
      <c r="G514" s="18"/>
      <c r="H514" s="21"/>
      <c r="I514" s="21"/>
      <c r="J514" s="21"/>
      <c r="K514" s="21"/>
      <c r="L514" s="21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2.75" customHeight="1">
      <c r="A515" s="18"/>
      <c r="B515" s="18"/>
      <c r="C515" s="18"/>
      <c r="D515" s="21"/>
      <c r="E515" s="20"/>
      <c r="F515" s="20"/>
      <c r="G515" s="18"/>
      <c r="H515" s="21"/>
      <c r="I515" s="21"/>
      <c r="J515" s="21"/>
      <c r="K515" s="21"/>
      <c r="L515" s="21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2.75" customHeight="1">
      <c r="A516" s="18"/>
      <c r="B516" s="18"/>
      <c r="C516" s="18"/>
      <c r="D516" s="21"/>
      <c r="E516" s="20"/>
      <c r="F516" s="20"/>
      <c r="G516" s="18"/>
      <c r="H516" s="21"/>
      <c r="I516" s="21"/>
      <c r="J516" s="21"/>
      <c r="K516" s="21"/>
      <c r="L516" s="21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2.75" customHeight="1">
      <c r="A517" s="18"/>
      <c r="B517" s="18"/>
      <c r="C517" s="18"/>
      <c r="D517" s="21"/>
      <c r="E517" s="20"/>
      <c r="F517" s="20"/>
      <c r="G517" s="18"/>
      <c r="H517" s="21"/>
      <c r="I517" s="21"/>
      <c r="J517" s="21"/>
      <c r="K517" s="21"/>
      <c r="L517" s="21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2.75" customHeight="1">
      <c r="A518" s="18"/>
      <c r="B518" s="18"/>
      <c r="C518" s="18"/>
      <c r="D518" s="21"/>
      <c r="E518" s="20"/>
      <c r="F518" s="20"/>
      <c r="G518" s="18"/>
      <c r="H518" s="21"/>
      <c r="I518" s="21"/>
      <c r="J518" s="21"/>
      <c r="K518" s="21"/>
      <c r="L518" s="21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2.75" customHeight="1">
      <c r="A519" s="18"/>
      <c r="B519" s="18"/>
      <c r="C519" s="18"/>
      <c r="D519" s="21"/>
      <c r="E519" s="20"/>
      <c r="F519" s="20"/>
      <c r="G519" s="18"/>
      <c r="H519" s="21"/>
      <c r="I519" s="21"/>
      <c r="J519" s="21"/>
      <c r="K519" s="21"/>
      <c r="L519" s="21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2.75" customHeight="1">
      <c r="A520" s="18"/>
      <c r="B520" s="18"/>
      <c r="C520" s="18"/>
      <c r="D520" s="21"/>
      <c r="E520" s="20"/>
      <c r="F520" s="20"/>
      <c r="G520" s="18"/>
      <c r="H520" s="21"/>
      <c r="I520" s="21"/>
      <c r="J520" s="21"/>
      <c r="K520" s="21"/>
      <c r="L520" s="21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2.75" customHeight="1">
      <c r="A521" s="18"/>
      <c r="B521" s="18"/>
      <c r="C521" s="18"/>
      <c r="D521" s="21"/>
      <c r="E521" s="20"/>
      <c r="F521" s="20"/>
      <c r="G521" s="18"/>
      <c r="H521" s="21"/>
      <c r="I521" s="21"/>
      <c r="J521" s="21"/>
      <c r="K521" s="21"/>
      <c r="L521" s="21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2.75" customHeight="1">
      <c r="A522" s="18"/>
      <c r="B522" s="18"/>
      <c r="C522" s="18"/>
      <c r="D522" s="21"/>
      <c r="E522" s="20"/>
      <c r="F522" s="20"/>
      <c r="G522" s="18"/>
      <c r="H522" s="21"/>
      <c r="I522" s="21"/>
      <c r="J522" s="21"/>
      <c r="K522" s="21"/>
      <c r="L522" s="21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2.75" customHeight="1">
      <c r="A523" s="18"/>
      <c r="B523" s="18"/>
      <c r="C523" s="18"/>
      <c r="D523" s="21"/>
      <c r="E523" s="20"/>
      <c r="F523" s="20"/>
      <c r="G523" s="18"/>
      <c r="H523" s="21"/>
      <c r="I523" s="21"/>
      <c r="J523" s="21"/>
      <c r="K523" s="21"/>
      <c r="L523" s="21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2.75" customHeight="1">
      <c r="A524" s="18"/>
      <c r="B524" s="18"/>
      <c r="C524" s="18"/>
      <c r="D524" s="21"/>
      <c r="E524" s="20"/>
      <c r="F524" s="20"/>
      <c r="G524" s="18"/>
      <c r="H524" s="21"/>
      <c r="I524" s="21"/>
      <c r="J524" s="21"/>
      <c r="K524" s="21"/>
      <c r="L524" s="21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2.75" customHeight="1">
      <c r="A525" s="18"/>
      <c r="B525" s="18"/>
      <c r="C525" s="18"/>
      <c r="D525" s="21"/>
      <c r="E525" s="20"/>
      <c r="F525" s="20"/>
      <c r="G525" s="18"/>
      <c r="H525" s="21"/>
      <c r="I525" s="21"/>
      <c r="J525" s="21"/>
      <c r="K525" s="21"/>
      <c r="L525" s="21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2.75" customHeight="1">
      <c r="A526" s="18"/>
      <c r="B526" s="18"/>
      <c r="C526" s="18"/>
      <c r="D526" s="21"/>
      <c r="E526" s="20"/>
      <c r="F526" s="20"/>
      <c r="G526" s="18"/>
      <c r="H526" s="21"/>
      <c r="I526" s="21"/>
      <c r="J526" s="21"/>
      <c r="K526" s="21"/>
      <c r="L526" s="21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2.75" customHeight="1">
      <c r="A527" s="18"/>
      <c r="B527" s="18"/>
      <c r="C527" s="18"/>
      <c r="D527" s="21"/>
      <c r="E527" s="20"/>
      <c r="F527" s="20"/>
      <c r="G527" s="18"/>
      <c r="H527" s="21"/>
      <c r="I527" s="21"/>
      <c r="J527" s="21"/>
      <c r="K527" s="21"/>
      <c r="L527" s="21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2.75" customHeight="1">
      <c r="A528" s="18"/>
      <c r="B528" s="18"/>
      <c r="C528" s="18"/>
      <c r="D528" s="21"/>
      <c r="E528" s="20"/>
      <c r="F528" s="20"/>
      <c r="G528" s="18"/>
      <c r="H528" s="21"/>
      <c r="I528" s="21"/>
      <c r="J528" s="21"/>
      <c r="K528" s="21"/>
      <c r="L528" s="21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2.75" customHeight="1">
      <c r="A529" s="18"/>
      <c r="B529" s="18"/>
      <c r="C529" s="18"/>
      <c r="D529" s="21"/>
      <c r="E529" s="20"/>
      <c r="F529" s="20"/>
      <c r="G529" s="18"/>
      <c r="H529" s="21"/>
      <c r="I529" s="21"/>
      <c r="J529" s="21"/>
      <c r="K529" s="21"/>
      <c r="L529" s="21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2.75" customHeight="1">
      <c r="A530" s="18"/>
      <c r="B530" s="18"/>
      <c r="C530" s="18"/>
      <c r="D530" s="21"/>
      <c r="E530" s="20"/>
      <c r="F530" s="20"/>
      <c r="G530" s="18"/>
      <c r="H530" s="21"/>
      <c r="I530" s="21"/>
      <c r="J530" s="21"/>
      <c r="K530" s="21"/>
      <c r="L530" s="21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2.75" customHeight="1">
      <c r="A531" s="18"/>
      <c r="B531" s="18"/>
      <c r="C531" s="18"/>
      <c r="D531" s="21"/>
      <c r="E531" s="20"/>
      <c r="F531" s="20"/>
      <c r="G531" s="18"/>
      <c r="H531" s="21"/>
      <c r="I531" s="21"/>
      <c r="J531" s="21"/>
      <c r="K531" s="21"/>
      <c r="L531" s="21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2.75" customHeight="1">
      <c r="A532" s="18"/>
      <c r="B532" s="18"/>
      <c r="C532" s="18"/>
      <c r="D532" s="21"/>
      <c r="E532" s="20"/>
      <c r="F532" s="20"/>
      <c r="G532" s="18"/>
      <c r="H532" s="21"/>
      <c r="I532" s="21"/>
      <c r="J532" s="21"/>
      <c r="K532" s="21"/>
      <c r="L532" s="21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2.75" customHeight="1">
      <c r="A533" s="18"/>
      <c r="B533" s="18"/>
      <c r="C533" s="18"/>
      <c r="D533" s="21"/>
      <c r="E533" s="20"/>
      <c r="F533" s="20"/>
      <c r="G533" s="18"/>
      <c r="H533" s="21"/>
      <c r="I533" s="21"/>
      <c r="J533" s="21"/>
      <c r="K533" s="21"/>
      <c r="L533" s="21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2.75" customHeight="1">
      <c r="A534" s="18"/>
      <c r="B534" s="18"/>
      <c r="C534" s="18"/>
      <c r="D534" s="21"/>
      <c r="E534" s="20"/>
      <c r="F534" s="20"/>
      <c r="G534" s="18"/>
      <c r="H534" s="21"/>
      <c r="I534" s="21"/>
      <c r="J534" s="21"/>
      <c r="K534" s="21"/>
      <c r="L534" s="21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2.75" customHeight="1">
      <c r="A535" s="18"/>
      <c r="B535" s="18"/>
      <c r="C535" s="18"/>
      <c r="D535" s="21"/>
      <c r="E535" s="20"/>
      <c r="F535" s="20"/>
      <c r="G535" s="18"/>
      <c r="H535" s="21"/>
      <c r="I535" s="21"/>
      <c r="J535" s="21"/>
      <c r="K535" s="21"/>
      <c r="L535" s="21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2.75" customHeight="1">
      <c r="A536" s="18"/>
      <c r="B536" s="18"/>
      <c r="C536" s="18"/>
      <c r="D536" s="21"/>
      <c r="E536" s="20"/>
      <c r="F536" s="20"/>
      <c r="G536" s="18"/>
      <c r="H536" s="21"/>
      <c r="I536" s="21"/>
      <c r="J536" s="21"/>
      <c r="K536" s="21"/>
      <c r="L536" s="21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2.75" customHeight="1">
      <c r="A537" s="18"/>
      <c r="B537" s="18"/>
      <c r="C537" s="18"/>
      <c r="D537" s="21"/>
      <c r="E537" s="20"/>
      <c r="F537" s="20"/>
      <c r="G537" s="18"/>
      <c r="H537" s="21"/>
      <c r="I537" s="21"/>
      <c r="J537" s="21"/>
      <c r="K537" s="21"/>
      <c r="L537" s="21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2.75" customHeight="1">
      <c r="A538" s="18"/>
      <c r="B538" s="18"/>
      <c r="C538" s="18"/>
      <c r="D538" s="21"/>
      <c r="E538" s="20"/>
      <c r="F538" s="20"/>
      <c r="G538" s="18"/>
      <c r="H538" s="21"/>
      <c r="I538" s="21"/>
      <c r="J538" s="21"/>
      <c r="K538" s="21"/>
      <c r="L538" s="21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2.75" customHeight="1">
      <c r="A539" s="18"/>
      <c r="B539" s="18"/>
      <c r="C539" s="18"/>
      <c r="D539" s="21"/>
      <c r="E539" s="20"/>
      <c r="F539" s="20"/>
      <c r="G539" s="18"/>
      <c r="H539" s="21"/>
      <c r="I539" s="21"/>
      <c r="J539" s="21"/>
      <c r="K539" s="21"/>
      <c r="L539" s="21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2.75" customHeight="1">
      <c r="A540" s="18"/>
      <c r="B540" s="18"/>
      <c r="C540" s="18"/>
      <c r="D540" s="21"/>
      <c r="E540" s="20"/>
      <c r="F540" s="20"/>
      <c r="G540" s="18"/>
      <c r="H540" s="21"/>
      <c r="I540" s="21"/>
      <c r="J540" s="21"/>
      <c r="K540" s="21"/>
      <c r="L540" s="21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2.75" customHeight="1">
      <c r="A541" s="18"/>
      <c r="B541" s="18"/>
      <c r="C541" s="18"/>
      <c r="D541" s="21"/>
      <c r="E541" s="20"/>
      <c r="F541" s="20"/>
      <c r="G541" s="18"/>
      <c r="H541" s="21"/>
      <c r="I541" s="21"/>
      <c r="J541" s="21"/>
      <c r="K541" s="21"/>
      <c r="L541" s="21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2.75" customHeight="1">
      <c r="A542" s="18"/>
      <c r="B542" s="18"/>
      <c r="C542" s="18"/>
      <c r="D542" s="21"/>
      <c r="E542" s="20"/>
      <c r="F542" s="20"/>
      <c r="G542" s="18"/>
      <c r="H542" s="21"/>
      <c r="I542" s="21"/>
      <c r="J542" s="21"/>
      <c r="K542" s="21"/>
      <c r="L542" s="21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2.75" customHeight="1">
      <c r="A543" s="18"/>
      <c r="B543" s="18"/>
      <c r="C543" s="18"/>
      <c r="D543" s="21"/>
      <c r="E543" s="20"/>
      <c r="F543" s="20"/>
      <c r="G543" s="18"/>
      <c r="H543" s="21"/>
      <c r="I543" s="21"/>
      <c r="J543" s="21"/>
      <c r="K543" s="21"/>
      <c r="L543" s="21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2.75" customHeight="1">
      <c r="A544" s="18"/>
      <c r="B544" s="18"/>
      <c r="C544" s="18"/>
      <c r="D544" s="21"/>
      <c r="E544" s="20"/>
      <c r="F544" s="20"/>
      <c r="G544" s="18"/>
      <c r="H544" s="21"/>
      <c r="I544" s="21"/>
      <c r="J544" s="21"/>
      <c r="K544" s="21"/>
      <c r="L544" s="21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2.75" customHeight="1">
      <c r="A545" s="18"/>
      <c r="B545" s="18"/>
      <c r="C545" s="18"/>
      <c r="D545" s="21"/>
      <c r="E545" s="20"/>
      <c r="F545" s="20"/>
      <c r="G545" s="18"/>
      <c r="H545" s="21"/>
      <c r="I545" s="21"/>
      <c r="J545" s="21"/>
      <c r="K545" s="21"/>
      <c r="L545" s="21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2.75" customHeight="1">
      <c r="A546" s="18"/>
      <c r="B546" s="18"/>
      <c r="C546" s="18"/>
      <c r="D546" s="21"/>
      <c r="E546" s="20"/>
      <c r="F546" s="20"/>
      <c r="G546" s="18"/>
      <c r="H546" s="21"/>
      <c r="I546" s="21"/>
      <c r="J546" s="21"/>
      <c r="K546" s="21"/>
      <c r="L546" s="21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2.75" customHeight="1">
      <c r="A547" s="18"/>
      <c r="B547" s="18"/>
      <c r="C547" s="18"/>
      <c r="D547" s="21"/>
      <c r="E547" s="20"/>
      <c r="F547" s="20"/>
      <c r="G547" s="18"/>
      <c r="H547" s="21"/>
      <c r="I547" s="21"/>
      <c r="J547" s="21"/>
      <c r="K547" s="21"/>
      <c r="L547" s="21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2.75" customHeight="1">
      <c r="A548" s="18"/>
      <c r="B548" s="18"/>
      <c r="C548" s="18"/>
      <c r="D548" s="21"/>
      <c r="E548" s="20"/>
      <c r="F548" s="20"/>
      <c r="G548" s="18"/>
      <c r="H548" s="21"/>
      <c r="I548" s="21"/>
      <c r="J548" s="21"/>
      <c r="K548" s="21"/>
      <c r="L548" s="21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2.75" customHeight="1">
      <c r="A549" s="18"/>
      <c r="B549" s="18"/>
      <c r="C549" s="18"/>
      <c r="D549" s="21"/>
      <c r="E549" s="20"/>
      <c r="F549" s="20"/>
      <c r="G549" s="18"/>
      <c r="H549" s="21"/>
      <c r="I549" s="21"/>
      <c r="J549" s="21"/>
      <c r="K549" s="21"/>
      <c r="L549" s="21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2.75" customHeight="1">
      <c r="A550" s="18"/>
      <c r="B550" s="18"/>
      <c r="C550" s="18"/>
      <c r="D550" s="21"/>
      <c r="E550" s="20"/>
      <c r="F550" s="20"/>
      <c r="G550" s="18"/>
      <c r="H550" s="21"/>
      <c r="I550" s="21"/>
      <c r="J550" s="21"/>
      <c r="K550" s="21"/>
      <c r="L550" s="21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2.75" customHeight="1">
      <c r="A551" s="18"/>
      <c r="B551" s="18"/>
      <c r="C551" s="18"/>
      <c r="D551" s="21"/>
      <c r="E551" s="20"/>
      <c r="F551" s="20"/>
      <c r="G551" s="18"/>
      <c r="H551" s="21"/>
      <c r="I551" s="21"/>
      <c r="J551" s="21"/>
      <c r="K551" s="21"/>
      <c r="L551" s="21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2.75" customHeight="1">
      <c r="A552" s="18"/>
      <c r="B552" s="18"/>
      <c r="C552" s="18"/>
      <c r="D552" s="21"/>
      <c r="E552" s="20"/>
      <c r="F552" s="20"/>
      <c r="G552" s="18"/>
      <c r="H552" s="21"/>
      <c r="I552" s="21"/>
      <c r="J552" s="21"/>
      <c r="K552" s="21"/>
      <c r="L552" s="21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2.75" customHeight="1">
      <c r="A553" s="18"/>
      <c r="B553" s="18"/>
      <c r="C553" s="18"/>
      <c r="D553" s="21"/>
      <c r="E553" s="20"/>
      <c r="F553" s="20"/>
      <c r="G553" s="18"/>
      <c r="H553" s="21"/>
      <c r="I553" s="21"/>
      <c r="J553" s="21"/>
      <c r="K553" s="21"/>
      <c r="L553" s="21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2.75" customHeight="1">
      <c r="A554" s="18"/>
      <c r="B554" s="18"/>
      <c r="C554" s="18"/>
      <c r="D554" s="21"/>
      <c r="E554" s="20"/>
      <c r="F554" s="20"/>
      <c r="G554" s="18"/>
      <c r="H554" s="21"/>
      <c r="I554" s="21"/>
      <c r="J554" s="21"/>
      <c r="K554" s="21"/>
      <c r="L554" s="21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2.75" customHeight="1">
      <c r="A555" s="18"/>
      <c r="B555" s="18"/>
      <c r="C555" s="18"/>
      <c r="D555" s="21"/>
      <c r="E555" s="20"/>
      <c r="F555" s="20"/>
      <c r="G555" s="18"/>
      <c r="H555" s="21"/>
      <c r="I555" s="21"/>
      <c r="J555" s="21"/>
      <c r="K555" s="21"/>
      <c r="L555" s="21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2.75" customHeight="1">
      <c r="A556" s="18"/>
      <c r="B556" s="18"/>
      <c r="C556" s="18"/>
      <c r="D556" s="21"/>
      <c r="E556" s="20"/>
      <c r="F556" s="20"/>
      <c r="G556" s="18"/>
      <c r="H556" s="21"/>
      <c r="I556" s="21"/>
      <c r="J556" s="21"/>
      <c r="K556" s="21"/>
      <c r="L556" s="21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2.75" customHeight="1">
      <c r="A557" s="18"/>
      <c r="B557" s="18"/>
      <c r="C557" s="18"/>
      <c r="D557" s="21"/>
      <c r="E557" s="20"/>
      <c r="F557" s="20"/>
      <c r="G557" s="18"/>
      <c r="H557" s="21"/>
      <c r="I557" s="21"/>
      <c r="J557" s="21"/>
      <c r="K557" s="21"/>
      <c r="L557" s="21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2.75" customHeight="1">
      <c r="A558" s="18"/>
      <c r="B558" s="18"/>
      <c r="C558" s="18"/>
      <c r="D558" s="21"/>
      <c r="E558" s="20"/>
      <c r="F558" s="20"/>
      <c r="G558" s="18"/>
      <c r="H558" s="21"/>
      <c r="I558" s="21"/>
      <c r="J558" s="21"/>
      <c r="K558" s="21"/>
      <c r="L558" s="21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2.75" customHeight="1">
      <c r="A559" s="18"/>
      <c r="B559" s="18"/>
      <c r="C559" s="18"/>
      <c r="D559" s="21"/>
      <c r="E559" s="20"/>
      <c r="F559" s="20"/>
      <c r="G559" s="18"/>
      <c r="H559" s="21"/>
      <c r="I559" s="21"/>
      <c r="J559" s="21"/>
      <c r="K559" s="21"/>
      <c r="L559" s="21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2.75" customHeight="1">
      <c r="A560" s="18"/>
      <c r="B560" s="18"/>
      <c r="C560" s="18"/>
      <c r="D560" s="21"/>
      <c r="E560" s="20"/>
      <c r="F560" s="20"/>
      <c r="G560" s="18"/>
      <c r="H560" s="21"/>
      <c r="I560" s="21"/>
      <c r="J560" s="21"/>
      <c r="K560" s="21"/>
      <c r="L560" s="21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2.75" customHeight="1">
      <c r="A561" s="18"/>
      <c r="B561" s="18"/>
      <c r="C561" s="18"/>
      <c r="D561" s="21"/>
      <c r="E561" s="20"/>
      <c r="F561" s="20"/>
      <c r="G561" s="18"/>
      <c r="H561" s="21"/>
      <c r="I561" s="21"/>
      <c r="J561" s="21"/>
      <c r="K561" s="21"/>
      <c r="L561" s="21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2.75" customHeight="1">
      <c r="A562" s="18"/>
      <c r="B562" s="18"/>
      <c r="C562" s="18"/>
      <c r="D562" s="21"/>
      <c r="E562" s="20"/>
      <c r="F562" s="20"/>
      <c r="G562" s="18"/>
      <c r="H562" s="21"/>
      <c r="I562" s="21"/>
      <c r="J562" s="21"/>
      <c r="K562" s="21"/>
      <c r="L562" s="21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2.75" customHeight="1">
      <c r="A563" s="18"/>
      <c r="B563" s="18"/>
      <c r="C563" s="18"/>
      <c r="D563" s="21"/>
      <c r="E563" s="20"/>
      <c r="F563" s="20"/>
      <c r="G563" s="18"/>
      <c r="H563" s="21"/>
      <c r="I563" s="21"/>
      <c r="J563" s="21"/>
      <c r="K563" s="21"/>
      <c r="L563" s="21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2.75" customHeight="1">
      <c r="A564" s="18"/>
      <c r="B564" s="18"/>
      <c r="C564" s="18"/>
      <c r="D564" s="21"/>
      <c r="E564" s="20"/>
      <c r="F564" s="20"/>
      <c r="G564" s="18"/>
      <c r="H564" s="21"/>
      <c r="I564" s="21"/>
      <c r="J564" s="21"/>
      <c r="K564" s="21"/>
      <c r="L564" s="21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2.75" customHeight="1">
      <c r="A565" s="18"/>
      <c r="B565" s="18"/>
      <c r="C565" s="18"/>
      <c r="D565" s="21"/>
      <c r="E565" s="20"/>
      <c r="F565" s="20"/>
      <c r="G565" s="18"/>
      <c r="H565" s="21"/>
      <c r="I565" s="21"/>
      <c r="J565" s="21"/>
      <c r="K565" s="21"/>
      <c r="L565" s="21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2.75" customHeight="1">
      <c r="A566" s="18"/>
      <c r="B566" s="18"/>
      <c r="C566" s="18"/>
      <c r="D566" s="21"/>
      <c r="E566" s="20"/>
      <c r="F566" s="20"/>
      <c r="G566" s="18"/>
      <c r="H566" s="21"/>
      <c r="I566" s="21"/>
      <c r="J566" s="21"/>
      <c r="K566" s="21"/>
      <c r="L566" s="21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2.75" customHeight="1">
      <c r="A567" s="18"/>
      <c r="B567" s="18"/>
      <c r="C567" s="18"/>
      <c r="D567" s="21"/>
      <c r="E567" s="20"/>
      <c r="F567" s="20"/>
      <c r="G567" s="18"/>
      <c r="H567" s="21"/>
      <c r="I567" s="21"/>
      <c r="J567" s="21"/>
      <c r="K567" s="21"/>
      <c r="L567" s="21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2.75" customHeight="1">
      <c r="A568" s="18"/>
      <c r="B568" s="18"/>
      <c r="C568" s="18"/>
      <c r="D568" s="21"/>
      <c r="E568" s="20"/>
      <c r="F568" s="20"/>
      <c r="G568" s="18"/>
      <c r="H568" s="21"/>
      <c r="I568" s="21"/>
      <c r="J568" s="21"/>
      <c r="K568" s="21"/>
      <c r="L568" s="21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2.75" customHeight="1">
      <c r="A569" s="18"/>
      <c r="B569" s="18"/>
      <c r="C569" s="18"/>
      <c r="D569" s="21"/>
      <c r="E569" s="20"/>
      <c r="F569" s="20"/>
      <c r="G569" s="18"/>
      <c r="H569" s="21"/>
      <c r="I569" s="21"/>
      <c r="J569" s="21"/>
      <c r="K569" s="21"/>
      <c r="L569" s="21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2.75" customHeight="1">
      <c r="A570" s="18"/>
      <c r="B570" s="18"/>
      <c r="C570" s="18"/>
      <c r="D570" s="21"/>
      <c r="E570" s="20"/>
      <c r="F570" s="20"/>
      <c r="G570" s="18"/>
      <c r="H570" s="21"/>
      <c r="I570" s="21"/>
      <c r="J570" s="21"/>
      <c r="K570" s="21"/>
      <c r="L570" s="21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2.75" customHeight="1">
      <c r="A571" s="18"/>
      <c r="B571" s="18"/>
      <c r="C571" s="18"/>
      <c r="D571" s="21"/>
      <c r="E571" s="20"/>
      <c r="F571" s="20"/>
      <c r="G571" s="18"/>
      <c r="H571" s="21"/>
      <c r="I571" s="21"/>
      <c r="J571" s="21"/>
      <c r="K571" s="21"/>
      <c r="L571" s="21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2.75" customHeight="1">
      <c r="A572" s="18"/>
      <c r="B572" s="18"/>
      <c r="C572" s="18"/>
      <c r="D572" s="21"/>
      <c r="E572" s="20"/>
      <c r="F572" s="20"/>
      <c r="G572" s="18"/>
      <c r="H572" s="21"/>
      <c r="I572" s="21"/>
      <c r="J572" s="21"/>
      <c r="K572" s="21"/>
      <c r="L572" s="21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2.75" customHeight="1">
      <c r="A573" s="18"/>
      <c r="B573" s="18"/>
      <c r="C573" s="18"/>
      <c r="D573" s="21"/>
      <c r="E573" s="20"/>
      <c r="F573" s="20"/>
      <c r="G573" s="18"/>
      <c r="H573" s="21"/>
      <c r="I573" s="21"/>
      <c r="J573" s="21"/>
      <c r="K573" s="21"/>
      <c r="L573" s="21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2.75" customHeight="1">
      <c r="A574" s="18"/>
      <c r="B574" s="18"/>
      <c r="C574" s="18"/>
      <c r="D574" s="21"/>
      <c r="E574" s="20"/>
      <c r="F574" s="20"/>
      <c r="G574" s="18"/>
      <c r="H574" s="21"/>
      <c r="I574" s="21"/>
      <c r="J574" s="21"/>
      <c r="K574" s="21"/>
      <c r="L574" s="21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2.75" customHeight="1">
      <c r="A575" s="18"/>
      <c r="B575" s="18"/>
      <c r="C575" s="18"/>
      <c r="D575" s="21"/>
      <c r="E575" s="20"/>
      <c r="F575" s="20"/>
      <c r="G575" s="18"/>
      <c r="H575" s="21"/>
      <c r="I575" s="21"/>
      <c r="J575" s="21"/>
      <c r="K575" s="21"/>
      <c r="L575" s="21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2.75" customHeight="1">
      <c r="A576" s="18"/>
      <c r="B576" s="18"/>
      <c r="C576" s="18"/>
      <c r="D576" s="21"/>
      <c r="E576" s="20"/>
      <c r="F576" s="20"/>
      <c r="G576" s="18"/>
      <c r="H576" s="21"/>
      <c r="I576" s="21"/>
      <c r="J576" s="21"/>
      <c r="K576" s="21"/>
      <c r="L576" s="21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2.75" customHeight="1">
      <c r="A577" s="18"/>
      <c r="B577" s="18"/>
      <c r="C577" s="18"/>
      <c r="D577" s="21"/>
      <c r="E577" s="20"/>
      <c r="F577" s="20"/>
      <c r="G577" s="18"/>
      <c r="H577" s="21"/>
      <c r="I577" s="21"/>
      <c r="J577" s="21"/>
      <c r="K577" s="21"/>
      <c r="L577" s="21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2.75" customHeight="1">
      <c r="A578" s="18"/>
      <c r="B578" s="18"/>
      <c r="C578" s="18"/>
      <c r="D578" s="21"/>
      <c r="E578" s="20"/>
      <c r="F578" s="20"/>
      <c r="G578" s="18"/>
      <c r="H578" s="21"/>
      <c r="I578" s="21"/>
      <c r="J578" s="21"/>
      <c r="K578" s="21"/>
      <c r="L578" s="21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2.75" customHeight="1">
      <c r="A579" s="18"/>
      <c r="B579" s="18"/>
      <c r="C579" s="18"/>
      <c r="D579" s="21"/>
      <c r="E579" s="20"/>
      <c r="F579" s="20"/>
      <c r="G579" s="18"/>
      <c r="H579" s="21"/>
      <c r="I579" s="21"/>
      <c r="J579" s="21"/>
      <c r="K579" s="21"/>
      <c r="L579" s="21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2.75" customHeight="1">
      <c r="A580" s="18"/>
      <c r="B580" s="18"/>
      <c r="C580" s="18"/>
      <c r="D580" s="21"/>
      <c r="E580" s="20"/>
      <c r="F580" s="20"/>
      <c r="G580" s="18"/>
      <c r="H580" s="21"/>
      <c r="I580" s="21"/>
      <c r="J580" s="21"/>
      <c r="K580" s="21"/>
      <c r="L580" s="21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2.75" customHeight="1">
      <c r="A581" s="18"/>
      <c r="B581" s="18"/>
      <c r="C581" s="18"/>
      <c r="D581" s="21"/>
      <c r="E581" s="20"/>
      <c r="F581" s="20"/>
      <c r="G581" s="18"/>
      <c r="H581" s="21"/>
      <c r="I581" s="21"/>
      <c r="J581" s="21"/>
      <c r="K581" s="21"/>
      <c r="L581" s="21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2.75" customHeight="1">
      <c r="A582" s="18"/>
      <c r="B582" s="18"/>
      <c r="C582" s="18"/>
      <c r="D582" s="21"/>
      <c r="E582" s="20"/>
      <c r="F582" s="20"/>
      <c r="G582" s="18"/>
      <c r="H582" s="21"/>
      <c r="I582" s="21"/>
      <c r="J582" s="21"/>
      <c r="K582" s="21"/>
      <c r="L582" s="21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2.75" customHeight="1">
      <c r="A583" s="18"/>
      <c r="B583" s="18"/>
      <c r="C583" s="18"/>
      <c r="D583" s="21"/>
      <c r="E583" s="20"/>
      <c r="F583" s="20"/>
      <c r="G583" s="18"/>
      <c r="H583" s="21"/>
      <c r="I583" s="21"/>
      <c r="J583" s="21"/>
      <c r="K583" s="21"/>
      <c r="L583" s="21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2.75" customHeight="1">
      <c r="A584" s="18"/>
      <c r="B584" s="18"/>
      <c r="C584" s="18"/>
      <c r="D584" s="21"/>
      <c r="E584" s="20"/>
      <c r="F584" s="20"/>
      <c r="G584" s="18"/>
      <c r="H584" s="21"/>
      <c r="I584" s="21"/>
      <c r="J584" s="21"/>
      <c r="K584" s="21"/>
      <c r="L584" s="21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2.75" customHeight="1">
      <c r="A585" s="18"/>
      <c r="B585" s="18"/>
      <c r="C585" s="18"/>
      <c r="D585" s="21"/>
      <c r="E585" s="20"/>
      <c r="F585" s="20"/>
      <c r="G585" s="18"/>
      <c r="H585" s="21"/>
      <c r="I585" s="21"/>
      <c r="J585" s="21"/>
      <c r="K585" s="21"/>
      <c r="L585" s="21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2.75" customHeight="1">
      <c r="A586" s="18"/>
      <c r="B586" s="18"/>
      <c r="C586" s="18"/>
      <c r="D586" s="21"/>
      <c r="E586" s="20"/>
      <c r="F586" s="20"/>
      <c r="G586" s="18"/>
      <c r="H586" s="21"/>
      <c r="I586" s="21"/>
      <c r="J586" s="21"/>
      <c r="K586" s="21"/>
      <c r="L586" s="21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2.75" customHeight="1">
      <c r="A587" s="18"/>
      <c r="B587" s="18"/>
      <c r="C587" s="18"/>
      <c r="D587" s="21"/>
      <c r="E587" s="20"/>
      <c r="F587" s="20"/>
      <c r="G587" s="18"/>
      <c r="H587" s="21"/>
      <c r="I587" s="21"/>
      <c r="J587" s="21"/>
      <c r="K587" s="21"/>
      <c r="L587" s="21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2.75" customHeight="1">
      <c r="A588" s="18"/>
      <c r="B588" s="18"/>
      <c r="C588" s="18"/>
      <c r="D588" s="21"/>
      <c r="E588" s="20"/>
      <c r="F588" s="20"/>
      <c r="G588" s="18"/>
      <c r="H588" s="21"/>
      <c r="I588" s="21"/>
      <c r="J588" s="21"/>
      <c r="K588" s="21"/>
      <c r="L588" s="21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2.75" customHeight="1">
      <c r="A589" s="18"/>
      <c r="B589" s="18"/>
      <c r="C589" s="18"/>
      <c r="D589" s="21"/>
      <c r="E589" s="20"/>
      <c r="F589" s="20"/>
      <c r="G589" s="18"/>
      <c r="H589" s="21"/>
      <c r="I589" s="21"/>
      <c r="J589" s="21"/>
      <c r="K589" s="21"/>
      <c r="L589" s="21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2.75" customHeight="1">
      <c r="A590" s="18"/>
      <c r="B590" s="18"/>
      <c r="C590" s="18"/>
      <c r="D590" s="21"/>
      <c r="E590" s="20"/>
      <c r="F590" s="20"/>
      <c r="G590" s="18"/>
      <c r="H590" s="21"/>
      <c r="I590" s="21"/>
      <c r="J590" s="21"/>
      <c r="K590" s="21"/>
      <c r="L590" s="21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2.75" customHeight="1">
      <c r="A591" s="18"/>
      <c r="B591" s="18"/>
      <c r="C591" s="18"/>
      <c r="D591" s="21"/>
      <c r="E591" s="20"/>
      <c r="F591" s="20"/>
      <c r="G591" s="18"/>
      <c r="H591" s="21"/>
      <c r="I591" s="21"/>
      <c r="J591" s="21"/>
      <c r="K591" s="21"/>
      <c r="L591" s="21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2.75" customHeight="1">
      <c r="A592" s="18"/>
      <c r="B592" s="18"/>
      <c r="C592" s="18"/>
      <c r="D592" s="21"/>
      <c r="E592" s="20"/>
      <c r="F592" s="20"/>
      <c r="G592" s="18"/>
      <c r="H592" s="21"/>
      <c r="I592" s="21"/>
      <c r="J592" s="21"/>
      <c r="K592" s="21"/>
      <c r="L592" s="21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2.75" customHeight="1">
      <c r="A593" s="18"/>
      <c r="B593" s="18"/>
      <c r="C593" s="18"/>
      <c r="D593" s="21"/>
      <c r="E593" s="20"/>
      <c r="F593" s="20"/>
      <c r="G593" s="18"/>
      <c r="H593" s="21"/>
      <c r="I593" s="21"/>
      <c r="J593" s="21"/>
      <c r="K593" s="21"/>
      <c r="L593" s="21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2.75" customHeight="1">
      <c r="A594" s="18"/>
      <c r="B594" s="18"/>
      <c r="C594" s="18"/>
      <c r="D594" s="21"/>
      <c r="E594" s="20"/>
      <c r="F594" s="20"/>
      <c r="G594" s="18"/>
      <c r="H594" s="21"/>
      <c r="I594" s="21"/>
      <c r="J594" s="21"/>
      <c r="K594" s="21"/>
      <c r="L594" s="21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2.75" customHeight="1">
      <c r="A595" s="18"/>
      <c r="B595" s="18"/>
      <c r="C595" s="18"/>
      <c r="D595" s="21"/>
      <c r="E595" s="20"/>
      <c r="F595" s="20"/>
      <c r="G595" s="18"/>
      <c r="H595" s="21"/>
      <c r="I595" s="21"/>
      <c r="J595" s="21"/>
      <c r="K595" s="21"/>
      <c r="L595" s="21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2.75" customHeight="1">
      <c r="A596" s="18"/>
      <c r="B596" s="18"/>
      <c r="C596" s="18"/>
      <c r="D596" s="21"/>
      <c r="E596" s="20"/>
      <c r="F596" s="20"/>
      <c r="G596" s="18"/>
      <c r="H596" s="21"/>
      <c r="I596" s="21"/>
      <c r="J596" s="21"/>
      <c r="K596" s="21"/>
      <c r="L596" s="21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2.75" customHeight="1">
      <c r="A597" s="18"/>
      <c r="B597" s="18"/>
      <c r="C597" s="18"/>
      <c r="D597" s="21"/>
      <c r="E597" s="20"/>
      <c r="F597" s="20"/>
      <c r="G597" s="18"/>
      <c r="H597" s="21"/>
      <c r="I597" s="21"/>
      <c r="J597" s="21"/>
      <c r="K597" s="21"/>
      <c r="L597" s="21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2.75" customHeight="1">
      <c r="A598" s="18"/>
      <c r="B598" s="18"/>
      <c r="C598" s="18"/>
      <c r="D598" s="21"/>
      <c r="E598" s="20"/>
      <c r="F598" s="20"/>
      <c r="G598" s="18"/>
      <c r="H598" s="21"/>
      <c r="I598" s="21"/>
      <c r="J598" s="21"/>
      <c r="K598" s="21"/>
      <c r="L598" s="21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2.75" customHeight="1">
      <c r="A599" s="18"/>
      <c r="B599" s="18"/>
      <c r="C599" s="18"/>
      <c r="D599" s="21"/>
      <c r="E599" s="20"/>
      <c r="F599" s="20"/>
      <c r="G599" s="18"/>
      <c r="H599" s="21"/>
      <c r="I599" s="21"/>
      <c r="J599" s="21"/>
      <c r="K599" s="21"/>
      <c r="L599" s="21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2.75" customHeight="1">
      <c r="A600" s="18"/>
      <c r="B600" s="18"/>
      <c r="C600" s="18"/>
      <c r="D600" s="21"/>
      <c r="E600" s="20"/>
      <c r="F600" s="20"/>
      <c r="G600" s="18"/>
      <c r="H600" s="21"/>
      <c r="I600" s="21"/>
      <c r="J600" s="21"/>
      <c r="K600" s="21"/>
      <c r="L600" s="21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2.75" customHeight="1">
      <c r="A601" s="18"/>
      <c r="B601" s="18"/>
      <c r="C601" s="18"/>
      <c r="D601" s="21"/>
      <c r="E601" s="20"/>
      <c r="F601" s="20"/>
      <c r="G601" s="18"/>
      <c r="H601" s="21"/>
      <c r="I601" s="21"/>
      <c r="J601" s="21"/>
      <c r="K601" s="21"/>
      <c r="L601" s="21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2.75" customHeight="1">
      <c r="A602" s="18"/>
      <c r="B602" s="18"/>
      <c r="C602" s="18"/>
      <c r="D602" s="21"/>
      <c r="E602" s="20"/>
      <c r="F602" s="20"/>
      <c r="G602" s="18"/>
      <c r="H602" s="21"/>
      <c r="I602" s="21"/>
      <c r="J602" s="21"/>
      <c r="K602" s="21"/>
      <c r="L602" s="21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2.75" customHeight="1">
      <c r="A603" s="18"/>
      <c r="B603" s="18"/>
      <c r="C603" s="18"/>
      <c r="D603" s="21"/>
      <c r="E603" s="20"/>
      <c r="F603" s="20"/>
      <c r="G603" s="18"/>
      <c r="H603" s="21"/>
      <c r="I603" s="21"/>
      <c r="J603" s="21"/>
      <c r="K603" s="21"/>
      <c r="L603" s="21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2.75" customHeight="1">
      <c r="A604" s="18"/>
      <c r="B604" s="18"/>
      <c r="C604" s="18"/>
      <c r="D604" s="21"/>
      <c r="E604" s="20"/>
      <c r="F604" s="20"/>
      <c r="G604" s="18"/>
      <c r="H604" s="21"/>
      <c r="I604" s="21"/>
      <c r="J604" s="21"/>
      <c r="K604" s="21"/>
      <c r="L604" s="21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2.75" customHeight="1">
      <c r="A605" s="18"/>
      <c r="B605" s="18"/>
      <c r="C605" s="18"/>
      <c r="D605" s="21"/>
      <c r="E605" s="20"/>
      <c r="F605" s="20"/>
      <c r="G605" s="18"/>
      <c r="H605" s="21"/>
      <c r="I605" s="21"/>
      <c r="J605" s="21"/>
      <c r="K605" s="21"/>
      <c r="L605" s="21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2.75" customHeight="1">
      <c r="A606" s="18"/>
      <c r="B606" s="18"/>
      <c r="C606" s="18"/>
      <c r="D606" s="21"/>
      <c r="E606" s="20"/>
      <c r="F606" s="20"/>
      <c r="G606" s="18"/>
      <c r="H606" s="21"/>
      <c r="I606" s="21"/>
      <c r="J606" s="21"/>
      <c r="K606" s="21"/>
      <c r="L606" s="21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2.75" customHeight="1">
      <c r="A607" s="18"/>
      <c r="B607" s="18"/>
      <c r="C607" s="18"/>
      <c r="D607" s="21"/>
      <c r="E607" s="20"/>
      <c r="F607" s="20"/>
      <c r="G607" s="18"/>
      <c r="H607" s="21"/>
      <c r="I607" s="21"/>
      <c r="J607" s="21"/>
      <c r="K607" s="21"/>
      <c r="L607" s="21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2.75" customHeight="1">
      <c r="A608" s="18"/>
      <c r="B608" s="18"/>
      <c r="C608" s="18"/>
      <c r="D608" s="21"/>
      <c r="E608" s="20"/>
      <c r="F608" s="20"/>
      <c r="G608" s="18"/>
      <c r="H608" s="21"/>
      <c r="I608" s="21"/>
      <c r="J608" s="21"/>
      <c r="K608" s="21"/>
      <c r="L608" s="21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2.75" customHeight="1">
      <c r="A609" s="18"/>
      <c r="B609" s="18"/>
      <c r="C609" s="18"/>
      <c r="D609" s="21"/>
      <c r="E609" s="20"/>
      <c r="F609" s="20"/>
      <c r="G609" s="18"/>
      <c r="H609" s="21"/>
      <c r="I609" s="21"/>
      <c r="J609" s="21"/>
      <c r="K609" s="21"/>
      <c r="L609" s="21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2.75" customHeight="1">
      <c r="A610" s="18"/>
      <c r="B610" s="18"/>
      <c r="C610" s="18"/>
      <c r="D610" s="21"/>
      <c r="E610" s="20"/>
      <c r="F610" s="20"/>
      <c r="G610" s="18"/>
      <c r="H610" s="21"/>
      <c r="I610" s="21"/>
      <c r="J610" s="21"/>
      <c r="K610" s="21"/>
      <c r="L610" s="21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2.75" customHeight="1">
      <c r="A611" s="18"/>
      <c r="B611" s="18"/>
      <c r="C611" s="18"/>
      <c r="D611" s="21"/>
      <c r="E611" s="20"/>
      <c r="F611" s="20"/>
      <c r="G611" s="18"/>
      <c r="H611" s="21"/>
      <c r="I611" s="21"/>
      <c r="J611" s="21"/>
      <c r="K611" s="21"/>
      <c r="L611" s="21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2.75" customHeight="1">
      <c r="A612" s="18"/>
      <c r="B612" s="18"/>
      <c r="C612" s="18"/>
      <c r="D612" s="21"/>
      <c r="E612" s="20"/>
      <c r="F612" s="20"/>
      <c r="G612" s="18"/>
      <c r="H612" s="21"/>
      <c r="I612" s="21"/>
      <c r="J612" s="21"/>
      <c r="K612" s="21"/>
      <c r="L612" s="21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2.75" customHeight="1">
      <c r="A613" s="18"/>
      <c r="B613" s="18"/>
      <c r="C613" s="18"/>
      <c r="D613" s="21"/>
      <c r="E613" s="20"/>
      <c r="F613" s="20"/>
      <c r="G613" s="18"/>
      <c r="H613" s="21"/>
      <c r="I613" s="21"/>
      <c r="J613" s="21"/>
      <c r="K613" s="21"/>
      <c r="L613" s="21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2.75" customHeight="1">
      <c r="A614" s="18"/>
      <c r="B614" s="18"/>
      <c r="C614" s="18"/>
      <c r="D614" s="21"/>
      <c r="E614" s="20"/>
      <c r="F614" s="20"/>
      <c r="G614" s="18"/>
      <c r="H614" s="21"/>
      <c r="I614" s="21"/>
      <c r="J614" s="21"/>
      <c r="K614" s="21"/>
      <c r="L614" s="21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2.75" customHeight="1">
      <c r="A615" s="18"/>
      <c r="B615" s="18"/>
      <c r="C615" s="18"/>
      <c r="D615" s="21"/>
      <c r="E615" s="20"/>
      <c r="F615" s="20"/>
      <c r="G615" s="18"/>
      <c r="H615" s="21"/>
      <c r="I615" s="21"/>
      <c r="J615" s="21"/>
      <c r="K615" s="21"/>
      <c r="L615" s="21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2.75" customHeight="1">
      <c r="A616" s="18"/>
      <c r="B616" s="18"/>
      <c r="C616" s="18"/>
      <c r="D616" s="21"/>
      <c r="E616" s="20"/>
      <c r="F616" s="20"/>
      <c r="G616" s="18"/>
      <c r="H616" s="21"/>
      <c r="I616" s="21"/>
      <c r="J616" s="21"/>
      <c r="K616" s="21"/>
      <c r="L616" s="21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2.75" customHeight="1">
      <c r="A617" s="18"/>
      <c r="B617" s="18"/>
      <c r="C617" s="18"/>
      <c r="D617" s="21"/>
      <c r="E617" s="20"/>
      <c r="F617" s="20"/>
      <c r="G617" s="18"/>
      <c r="H617" s="21"/>
      <c r="I617" s="21"/>
      <c r="J617" s="21"/>
      <c r="K617" s="21"/>
      <c r="L617" s="21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2.75" customHeight="1">
      <c r="A618" s="18"/>
      <c r="B618" s="18"/>
      <c r="C618" s="18"/>
      <c r="D618" s="21"/>
      <c r="E618" s="20"/>
      <c r="F618" s="20"/>
      <c r="G618" s="18"/>
      <c r="H618" s="21"/>
      <c r="I618" s="21"/>
      <c r="J618" s="21"/>
      <c r="K618" s="21"/>
      <c r="L618" s="21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2.75" customHeight="1">
      <c r="A619" s="18"/>
      <c r="B619" s="18"/>
      <c r="C619" s="18"/>
      <c r="D619" s="21"/>
      <c r="E619" s="20"/>
      <c r="F619" s="20"/>
      <c r="G619" s="18"/>
      <c r="H619" s="21"/>
      <c r="I619" s="21"/>
      <c r="J619" s="21"/>
      <c r="K619" s="21"/>
      <c r="L619" s="21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2.75" customHeight="1">
      <c r="A620" s="18"/>
      <c r="B620" s="18"/>
      <c r="C620" s="18"/>
      <c r="D620" s="21"/>
      <c r="E620" s="20"/>
      <c r="F620" s="20"/>
      <c r="G620" s="18"/>
      <c r="H620" s="21"/>
      <c r="I620" s="21"/>
      <c r="J620" s="21"/>
      <c r="K620" s="21"/>
      <c r="L620" s="21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2.75" customHeight="1">
      <c r="A621" s="18"/>
      <c r="B621" s="18"/>
      <c r="C621" s="18"/>
      <c r="D621" s="21"/>
      <c r="E621" s="20"/>
      <c r="F621" s="20"/>
      <c r="G621" s="18"/>
      <c r="H621" s="21"/>
      <c r="I621" s="21"/>
      <c r="J621" s="21"/>
      <c r="K621" s="21"/>
      <c r="L621" s="21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2.75" customHeight="1">
      <c r="A622" s="18"/>
      <c r="B622" s="18"/>
      <c r="C622" s="18"/>
      <c r="D622" s="21"/>
      <c r="E622" s="20"/>
      <c r="F622" s="20"/>
      <c r="G622" s="18"/>
      <c r="H622" s="21"/>
      <c r="I622" s="21"/>
      <c r="J622" s="21"/>
      <c r="K622" s="21"/>
      <c r="L622" s="21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2.75" customHeight="1">
      <c r="A623" s="18"/>
      <c r="B623" s="18"/>
      <c r="C623" s="18"/>
      <c r="D623" s="21"/>
      <c r="E623" s="20"/>
      <c r="F623" s="20"/>
      <c r="G623" s="18"/>
      <c r="H623" s="21"/>
      <c r="I623" s="21"/>
      <c r="J623" s="21"/>
      <c r="K623" s="21"/>
      <c r="L623" s="21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2.75" customHeight="1">
      <c r="A624" s="18"/>
      <c r="B624" s="18"/>
      <c r="C624" s="18"/>
      <c r="D624" s="21"/>
      <c r="E624" s="20"/>
      <c r="F624" s="20"/>
      <c r="G624" s="18"/>
      <c r="H624" s="21"/>
      <c r="I624" s="21"/>
      <c r="J624" s="21"/>
      <c r="K624" s="21"/>
      <c r="L624" s="21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2.75" customHeight="1">
      <c r="A625" s="18"/>
      <c r="B625" s="18"/>
      <c r="C625" s="18"/>
      <c r="D625" s="21"/>
      <c r="E625" s="20"/>
      <c r="F625" s="20"/>
      <c r="G625" s="18"/>
      <c r="H625" s="21"/>
      <c r="I625" s="21"/>
      <c r="J625" s="21"/>
      <c r="K625" s="21"/>
      <c r="L625" s="21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2.75" customHeight="1">
      <c r="A626" s="18"/>
      <c r="B626" s="18"/>
      <c r="C626" s="18"/>
      <c r="D626" s="21"/>
      <c r="E626" s="20"/>
      <c r="F626" s="20"/>
      <c r="G626" s="18"/>
      <c r="H626" s="21"/>
      <c r="I626" s="21"/>
      <c r="J626" s="21"/>
      <c r="K626" s="21"/>
      <c r="L626" s="21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2.75" customHeight="1">
      <c r="A627" s="18"/>
      <c r="B627" s="18"/>
      <c r="C627" s="18"/>
      <c r="D627" s="21"/>
      <c r="E627" s="20"/>
      <c r="F627" s="20"/>
      <c r="G627" s="18"/>
      <c r="H627" s="21"/>
      <c r="I627" s="21"/>
      <c r="J627" s="21"/>
      <c r="K627" s="21"/>
      <c r="L627" s="21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2.75" customHeight="1">
      <c r="A628" s="18"/>
      <c r="B628" s="18"/>
      <c r="C628" s="18"/>
      <c r="D628" s="21"/>
      <c r="E628" s="20"/>
      <c r="F628" s="20"/>
      <c r="G628" s="18"/>
      <c r="H628" s="21"/>
      <c r="I628" s="21"/>
      <c r="J628" s="21"/>
      <c r="K628" s="21"/>
      <c r="L628" s="21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2.75" customHeight="1">
      <c r="A629" s="18"/>
      <c r="B629" s="18"/>
      <c r="C629" s="18"/>
      <c r="D629" s="21"/>
      <c r="E629" s="20"/>
      <c r="F629" s="20"/>
      <c r="G629" s="18"/>
      <c r="H629" s="21"/>
      <c r="I629" s="21"/>
      <c r="J629" s="21"/>
      <c r="K629" s="21"/>
      <c r="L629" s="21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2.75" customHeight="1">
      <c r="A630" s="18"/>
      <c r="B630" s="18"/>
      <c r="C630" s="18"/>
      <c r="D630" s="21"/>
      <c r="E630" s="20"/>
      <c r="F630" s="20"/>
      <c r="G630" s="18"/>
      <c r="H630" s="21"/>
      <c r="I630" s="21"/>
      <c r="J630" s="21"/>
      <c r="K630" s="21"/>
      <c r="L630" s="21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2.75" customHeight="1">
      <c r="A631" s="18"/>
      <c r="B631" s="18"/>
      <c r="C631" s="18"/>
      <c r="D631" s="21"/>
      <c r="E631" s="20"/>
      <c r="F631" s="20"/>
      <c r="G631" s="18"/>
      <c r="H631" s="21"/>
      <c r="I631" s="21"/>
      <c r="J631" s="21"/>
      <c r="K631" s="21"/>
      <c r="L631" s="21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2.75" customHeight="1">
      <c r="A632" s="18"/>
      <c r="B632" s="18"/>
      <c r="C632" s="18"/>
      <c r="D632" s="21"/>
      <c r="E632" s="20"/>
      <c r="F632" s="20"/>
      <c r="G632" s="18"/>
      <c r="H632" s="21"/>
      <c r="I632" s="21"/>
      <c r="J632" s="21"/>
      <c r="K632" s="21"/>
      <c r="L632" s="21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2.75" customHeight="1">
      <c r="A633" s="18"/>
      <c r="B633" s="18"/>
      <c r="C633" s="18"/>
      <c r="D633" s="21"/>
      <c r="E633" s="20"/>
      <c r="F633" s="20"/>
      <c r="G633" s="18"/>
      <c r="H633" s="21"/>
      <c r="I633" s="21"/>
      <c r="J633" s="21"/>
      <c r="K633" s="21"/>
      <c r="L633" s="21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2.75" customHeight="1">
      <c r="A634" s="18"/>
      <c r="B634" s="18"/>
      <c r="C634" s="18"/>
      <c r="D634" s="21"/>
      <c r="E634" s="20"/>
      <c r="F634" s="20"/>
      <c r="G634" s="18"/>
      <c r="H634" s="21"/>
      <c r="I634" s="21"/>
      <c r="J634" s="21"/>
      <c r="K634" s="21"/>
      <c r="L634" s="21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2.75" customHeight="1">
      <c r="A635" s="18"/>
      <c r="B635" s="18"/>
      <c r="C635" s="18"/>
      <c r="D635" s="21"/>
      <c r="E635" s="20"/>
      <c r="F635" s="20"/>
      <c r="G635" s="18"/>
      <c r="H635" s="21"/>
      <c r="I635" s="21"/>
      <c r="J635" s="21"/>
      <c r="K635" s="21"/>
      <c r="L635" s="21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2.75" customHeight="1">
      <c r="A636" s="18"/>
      <c r="B636" s="18"/>
      <c r="C636" s="18"/>
      <c r="D636" s="21"/>
      <c r="E636" s="20"/>
      <c r="F636" s="20"/>
      <c r="G636" s="18"/>
      <c r="H636" s="21"/>
      <c r="I636" s="21"/>
      <c r="J636" s="21"/>
      <c r="K636" s="21"/>
      <c r="L636" s="21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2.75" customHeight="1">
      <c r="A637" s="18"/>
      <c r="B637" s="18"/>
      <c r="C637" s="18"/>
      <c r="D637" s="21"/>
      <c r="E637" s="20"/>
      <c r="F637" s="20"/>
      <c r="G637" s="18"/>
      <c r="H637" s="21"/>
      <c r="I637" s="21"/>
      <c r="J637" s="21"/>
      <c r="K637" s="21"/>
      <c r="L637" s="21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2.75" customHeight="1">
      <c r="A638" s="18"/>
      <c r="B638" s="18"/>
      <c r="C638" s="18"/>
      <c r="D638" s="21"/>
      <c r="E638" s="20"/>
      <c r="F638" s="20"/>
      <c r="G638" s="18"/>
      <c r="H638" s="21"/>
      <c r="I638" s="21"/>
      <c r="J638" s="21"/>
      <c r="K638" s="21"/>
      <c r="L638" s="21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2.75" customHeight="1">
      <c r="A639" s="18"/>
      <c r="B639" s="18"/>
      <c r="C639" s="18"/>
      <c r="D639" s="21"/>
      <c r="E639" s="20"/>
      <c r="F639" s="20"/>
      <c r="G639" s="18"/>
      <c r="H639" s="21"/>
      <c r="I639" s="21"/>
      <c r="J639" s="21"/>
      <c r="K639" s="21"/>
      <c r="L639" s="21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2.75" customHeight="1">
      <c r="A640" s="18"/>
      <c r="B640" s="18"/>
      <c r="C640" s="18"/>
      <c r="D640" s="21"/>
      <c r="E640" s="20"/>
      <c r="F640" s="20"/>
      <c r="G640" s="18"/>
      <c r="H640" s="21"/>
      <c r="I640" s="21"/>
      <c r="J640" s="21"/>
      <c r="K640" s="21"/>
      <c r="L640" s="21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2.75" customHeight="1">
      <c r="A641" s="18"/>
      <c r="B641" s="18"/>
      <c r="C641" s="18"/>
      <c r="D641" s="21"/>
      <c r="E641" s="20"/>
      <c r="F641" s="20"/>
      <c r="G641" s="18"/>
      <c r="H641" s="21"/>
      <c r="I641" s="21"/>
      <c r="J641" s="21"/>
      <c r="K641" s="21"/>
      <c r="L641" s="21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2.75" customHeight="1">
      <c r="A642" s="18"/>
      <c r="B642" s="18"/>
      <c r="C642" s="18"/>
      <c r="D642" s="21"/>
      <c r="E642" s="20"/>
      <c r="F642" s="20"/>
      <c r="G642" s="18"/>
      <c r="H642" s="21"/>
      <c r="I642" s="21"/>
      <c r="J642" s="21"/>
      <c r="K642" s="21"/>
      <c r="L642" s="21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2.75" customHeight="1">
      <c r="A643" s="18"/>
      <c r="B643" s="18"/>
      <c r="C643" s="18"/>
      <c r="D643" s="21"/>
      <c r="E643" s="20"/>
      <c r="F643" s="20"/>
      <c r="G643" s="18"/>
      <c r="H643" s="21"/>
      <c r="I643" s="21"/>
      <c r="J643" s="21"/>
      <c r="K643" s="21"/>
      <c r="L643" s="21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2.75" customHeight="1">
      <c r="A644" s="18"/>
      <c r="B644" s="18"/>
      <c r="C644" s="18"/>
      <c r="D644" s="21"/>
      <c r="E644" s="20"/>
      <c r="F644" s="20"/>
      <c r="G644" s="18"/>
      <c r="H644" s="21"/>
      <c r="I644" s="21"/>
      <c r="J644" s="21"/>
      <c r="K644" s="21"/>
      <c r="L644" s="21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2.75" customHeight="1">
      <c r="A645" s="18"/>
      <c r="B645" s="18"/>
      <c r="C645" s="18"/>
      <c r="D645" s="21"/>
      <c r="E645" s="20"/>
      <c r="F645" s="20"/>
      <c r="G645" s="18"/>
      <c r="H645" s="21"/>
      <c r="I645" s="21"/>
      <c r="J645" s="21"/>
      <c r="K645" s="21"/>
      <c r="L645" s="21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2.75" customHeight="1">
      <c r="A646" s="18"/>
      <c r="B646" s="18"/>
      <c r="C646" s="18"/>
      <c r="D646" s="21"/>
      <c r="E646" s="20"/>
      <c r="F646" s="20"/>
      <c r="G646" s="18"/>
      <c r="H646" s="21"/>
      <c r="I646" s="21"/>
      <c r="J646" s="21"/>
      <c r="K646" s="21"/>
      <c r="L646" s="21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2.75" customHeight="1">
      <c r="A647" s="18"/>
      <c r="B647" s="18"/>
      <c r="C647" s="18"/>
      <c r="D647" s="21"/>
      <c r="E647" s="20"/>
      <c r="F647" s="20"/>
      <c r="G647" s="18"/>
      <c r="H647" s="21"/>
      <c r="I647" s="21"/>
      <c r="J647" s="21"/>
      <c r="K647" s="21"/>
      <c r="L647" s="21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2.75" customHeight="1">
      <c r="A648" s="18"/>
      <c r="B648" s="18"/>
      <c r="C648" s="18"/>
      <c r="D648" s="21"/>
      <c r="E648" s="20"/>
      <c r="F648" s="20"/>
      <c r="G648" s="18"/>
      <c r="H648" s="21"/>
      <c r="I648" s="21"/>
      <c r="J648" s="21"/>
      <c r="K648" s="21"/>
      <c r="L648" s="21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2.75" customHeight="1">
      <c r="A649" s="18"/>
      <c r="B649" s="18"/>
      <c r="C649" s="18"/>
      <c r="D649" s="21"/>
      <c r="E649" s="20"/>
      <c r="F649" s="20"/>
      <c r="G649" s="18"/>
      <c r="H649" s="21"/>
      <c r="I649" s="21"/>
      <c r="J649" s="21"/>
      <c r="K649" s="21"/>
      <c r="L649" s="21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2.75" customHeight="1">
      <c r="A650" s="18"/>
      <c r="B650" s="18"/>
      <c r="C650" s="18"/>
      <c r="D650" s="21"/>
      <c r="E650" s="20"/>
      <c r="F650" s="20"/>
      <c r="G650" s="18"/>
      <c r="H650" s="21"/>
      <c r="I650" s="21"/>
      <c r="J650" s="21"/>
      <c r="K650" s="21"/>
      <c r="L650" s="21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2.75" customHeight="1">
      <c r="A651" s="18"/>
      <c r="B651" s="18"/>
      <c r="C651" s="18"/>
      <c r="D651" s="21"/>
      <c r="E651" s="20"/>
      <c r="F651" s="20"/>
      <c r="G651" s="18"/>
      <c r="H651" s="21"/>
      <c r="I651" s="21"/>
      <c r="J651" s="21"/>
      <c r="K651" s="21"/>
      <c r="L651" s="21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2.75" customHeight="1">
      <c r="A652" s="18"/>
      <c r="B652" s="18"/>
      <c r="C652" s="18"/>
      <c r="D652" s="21"/>
      <c r="E652" s="20"/>
      <c r="F652" s="20"/>
      <c r="G652" s="18"/>
      <c r="H652" s="21"/>
      <c r="I652" s="21"/>
      <c r="J652" s="21"/>
      <c r="K652" s="21"/>
      <c r="L652" s="21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2.75" customHeight="1">
      <c r="A653" s="18"/>
      <c r="B653" s="18"/>
      <c r="C653" s="18"/>
      <c r="D653" s="21"/>
      <c r="E653" s="20"/>
      <c r="F653" s="20"/>
      <c r="G653" s="18"/>
      <c r="H653" s="21"/>
      <c r="I653" s="21"/>
      <c r="J653" s="21"/>
      <c r="K653" s="21"/>
      <c r="L653" s="21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2.75" customHeight="1">
      <c r="A654" s="18"/>
      <c r="B654" s="18"/>
      <c r="C654" s="18"/>
      <c r="D654" s="21"/>
      <c r="E654" s="20"/>
      <c r="F654" s="20"/>
      <c r="G654" s="18"/>
      <c r="H654" s="21"/>
      <c r="I654" s="21"/>
      <c r="J654" s="21"/>
      <c r="K654" s="21"/>
      <c r="L654" s="21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2.75" customHeight="1">
      <c r="A655" s="18"/>
      <c r="B655" s="18"/>
      <c r="C655" s="18"/>
      <c r="D655" s="21"/>
      <c r="E655" s="20"/>
      <c r="F655" s="20"/>
      <c r="G655" s="18"/>
      <c r="H655" s="21"/>
      <c r="I655" s="21"/>
      <c r="J655" s="21"/>
      <c r="K655" s="21"/>
      <c r="L655" s="21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2.75" customHeight="1">
      <c r="A656" s="18"/>
      <c r="B656" s="18"/>
      <c r="C656" s="18"/>
      <c r="D656" s="21"/>
      <c r="E656" s="20"/>
      <c r="F656" s="20"/>
      <c r="G656" s="18"/>
      <c r="H656" s="21"/>
      <c r="I656" s="21"/>
      <c r="J656" s="21"/>
      <c r="K656" s="21"/>
      <c r="L656" s="21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2.75" customHeight="1">
      <c r="A657" s="18"/>
      <c r="B657" s="18"/>
      <c r="C657" s="18"/>
      <c r="D657" s="21"/>
      <c r="E657" s="20"/>
      <c r="F657" s="20"/>
      <c r="G657" s="18"/>
      <c r="H657" s="21"/>
      <c r="I657" s="21"/>
      <c r="J657" s="21"/>
      <c r="K657" s="21"/>
      <c r="L657" s="21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2.75" customHeight="1">
      <c r="A658" s="18"/>
      <c r="B658" s="18"/>
      <c r="C658" s="18"/>
      <c r="D658" s="21"/>
      <c r="E658" s="20"/>
      <c r="F658" s="20"/>
      <c r="G658" s="18"/>
      <c r="H658" s="21"/>
      <c r="I658" s="21"/>
      <c r="J658" s="21"/>
      <c r="K658" s="21"/>
      <c r="L658" s="21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2.75" customHeight="1">
      <c r="A659" s="18"/>
      <c r="B659" s="18"/>
      <c r="C659" s="18"/>
      <c r="D659" s="21"/>
      <c r="E659" s="20"/>
      <c r="F659" s="20"/>
      <c r="G659" s="18"/>
      <c r="H659" s="21"/>
      <c r="I659" s="21"/>
      <c r="J659" s="21"/>
      <c r="K659" s="21"/>
      <c r="L659" s="21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2.75" customHeight="1">
      <c r="A660" s="18"/>
      <c r="B660" s="18"/>
      <c r="C660" s="18"/>
      <c r="D660" s="21"/>
      <c r="E660" s="20"/>
      <c r="F660" s="20"/>
      <c r="G660" s="18"/>
      <c r="H660" s="21"/>
      <c r="I660" s="21"/>
      <c r="J660" s="21"/>
      <c r="K660" s="21"/>
      <c r="L660" s="21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2.75" customHeight="1">
      <c r="A661" s="18"/>
      <c r="B661" s="18"/>
      <c r="C661" s="18"/>
      <c r="D661" s="21"/>
      <c r="E661" s="20"/>
      <c r="F661" s="20"/>
      <c r="G661" s="18"/>
      <c r="H661" s="21"/>
      <c r="I661" s="21"/>
      <c r="J661" s="21"/>
      <c r="K661" s="21"/>
      <c r="L661" s="21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2.75" customHeight="1">
      <c r="A662" s="18"/>
      <c r="B662" s="18"/>
      <c r="C662" s="18"/>
      <c r="D662" s="21"/>
      <c r="E662" s="20"/>
      <c r="F662" s="20"/>
      <c r="G662" s="18"/>
      <c r="H662" s="21"/>
      <c r="I662" s="21"/>
      <c r="J662" s="21"/>
      <c r="K662" s="21"/>
      <c r="L662" s="21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2.75" customHeight="1">
      <c r="A663" s="18"/>
      <c r="B663" s="18"/>
      <c r="C663" s="18"/>
      <c r="D663" s="21"/>
      <c r="E663" s="20"/>
      <c r="F663" s="20"/>
      <c r="G663" s="18"/>
      <c r="H663" s="21"/>
      <c r="I663" s="21"/>
      <c r="J663" s="21"/>
      <c r="K663" s="21"/>
      <c r="L663" s="21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2.75" customHeight="1">
      <c r="A664" s="18"/>
      <c r="B664" s="18"/>
      <c r="C664" s="18"/>
      <c r="D664" s="21"/>
      <c r="E664" s="20"/>
      <c r="F664" s="20"/>
      <c r="G664" s="18"/>
      <c r="H664" s="21"/>
      <c r="I664" s="21"/>
      <c r="J664" s="21"/>
      <c r="K664" s="21"/>
      <c r="L664" s="21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2.75" customHeight="1">
      <c r="A665" s="18"/>
      <c r="B665" s="18"/>
      <c r="C665" s="18"/>
      <c r="D665" s="21"/>
      <c r="E665" s="20"/>
      <c r="F665" s="20"/>
      <c r="G665" s="18"/>
      <c r="H665" s="21"/>
      <c r="I665" s="21"/>
      <c r="J665" s="21"/>
      <c r="K665" s="21"/>
      <c r="L665" s="21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2.75" customHeight="1">
      <c r="A666" s="18"/>
      <c r="B666" s="18"/>
      <c r="C666" s="18"/>
      <c r="D666" s="21"/>
      <c r="E666" s="20"/>
      <c r="F666" s="20"/>
      <c r="G666" s="18"/>
      <c r="H666" s="21"/>
      <c r="I666" s="21"/>
      <c r="J666" s="21"/>
      <c r="K666" s="21"/>
      <c r="L666" s="21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2.75" customHeight="1">
      <c r="A667" s="18"/>
      <c r="B667" s="18"/>
      <c r="C667" s="18"/>
      <c r="D667" s="21"/>
      <c r="E667" s="20"/>
      <c r="F667" s="20"/>
      <c r="G667" s="18"/>
      <c r="H667" s="21"/>
      <c r="I667" s="21"/>
      <c r="J667" s="21"/>
      <c r="K667" s="21"/>
      <c r="L667" s="21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2.75" customHeight="1">
      <c r="A668" s="18"/>
      <c r="B668" s="18"/>
      <c r="C668" s="18"/>
      <c r="D668" s="21"/>
      <c r="E668" s="20"/>
      <c r="F668" s="20"/>
      <c r="G668" s="18"/>
      <c r="H668" s="21"/>
      <c r="I668" s="21"/>
      <c r="J668" s="21"/>
      <c r="K668" s="21"/>
      <c r="L668" s="21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2.75" customHeight="1">
      <c r="A669" s="18"/>
      <c r="B669" s="18"/>
      <c r="C669" s="18"/>
      <c r="D669" s="21"/>
      <c r="E669" s="20"/>
      <c r="F669" s="20"/>
      <c r="G669" s="18"/>
      <c r="H669" s="21"/>
      <c r="I669" s="21"/>
      <c r="J669" s="21"/>
      <c r="K669" s="21"/>
      <c r="L669" s="21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2.75" customHeight="1">
      <c r="A670" s="18"/>
      <c r="B670" s="18"/>
      <c r="C670" s="18"/>
      <c r="D670" s="21"/>
      <c r="E670" s="20"/>
      <c r="F670" s="20"/>
      <c r="G670" s="18"/>
      <c r="H670" s="21"/>
      <c r="I670" s="21"/>
      <c r="J670" s="21"/>
      <c r="K670" s="21"/>
      <c r="L670" s="21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2.75" customHeight="1">
      <c r="A671" s="18"/>
      <c r="B671" s="18"/>
      <c r="C671" s="18"/>
      <c r="D671" s="21"/>
      <c r="E671" s="20"/>
      <c r="F671" s="20"/>
      <c r="G671" s="18"/>
      <c r="H671" s="21"/>
      <c r="I671" s="21"/>
      <c r="J671" s="21"/>
      <c r="K671" s="21"/>
      <c r="L671" s="21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2.75" customHeight="1">
      <c r="A672" s="18"/>
      <c r="B672" s="18"/>
      <c r="C672" s="18"/>
      <c r="D672" s="21"/>
      <c r="E672" s="20"/>
      <c r="F672" s="20"/>
      <c r="G672" s="18"/>
      <c r="H672" s="21"/>
      <c r="I672" s="21"/>
      <c r="J672" s="21"/>
      <c r="K672" s="21"/>
      <c r="L672" s="21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2.75" customHeight="1">
      <c r="A673" s="18"/>
      <c r="B673" s="18"/>
      <c r="C673" s="18"/>
      <c r="D673" s="21"/>
      <c r="E673" s="20"/>
      <c r="F673" s="20"/>
      <c r="G673" s="18"/>
      <c r="H673" s="21"/>
      <c r="I673" s="21"/>
      <c r="J673" s="21"/>
      <c r="K673" s="21"/>
      <c r="L673" s="21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2.75" customHeight="1">
      <c r="A674" s="18"/>
      <c r="B674" s="18"/>
      <c r="C674" s="18"/>
      <c r="D674" s="21"/>
      <c r="E674" s="20"/>
      <c r="F674" s="20"/>
      <c r="G674" s="18"/>
      <c r="H674" s="21"/>
      <c r="I674" s="21"/>
      <c r="J674" s="21"/>
      <c r="K674" s="21"/>
      <c r="L674" s="21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2.75" customHeight="1">
      <c r="A675" s="18"/>
      <c r="B675" s="18"/>
      <c r="C675" s="18"/>
      <c r="D675" s="21"/>
      <c r="E675" s="20"/>
      <c r="F675" s="20"/>
      <c r="G675" s="18"/>
      <c r="H675" s="21"/>
      <c r="I675" s="21"/>
      <c r="J675" s="21"/>
      <c r="K675" s="21"/>
      <c r="L675" s="21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2.75" customHeight="1">
      <c r="A676" s="18"/>
      <c r="B676" s="18"/>
      <c r="C676" s="18"/>
      <c r="D676" s="21"/>
      <c r="E676" s="20"/>
      <c r="F676" s="20"/>
      <c r="G676" s="18"/>
      <c r="H676" s="21"/>
      <c r="I676" s="21"/>
      <c r="J676" s="21"/>
      <c r="K676" s="21"/>
      <c r="L676" s="21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2.75" customHeight="1">
      <c r="A677" s="18"/>
      <c r="B677" s="18"/>
      <c r="C677" s="18"/>
      <c r="D677" s="21"/>
      <c r="E677" s="20"/>
      <c r="F677" s="20"/>
      <c r="G677" s="18"/>
      <c r="H677" s="21"/>
      <c r="I677" s="21"/>
      <c r="J677" s="21"/>
      <c r="K677" s="21"/>
      <c r="L677" s="21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2.75" customHeight="1">
      <c r="A678" s="18"/>
      <c r="B678" s="18"/>
      <c r="C678" s="18"/>
      <c r="D678" s="21"/>
      <c r="E678" s="20"/>
      <c r="F678" s="20"/>
      <c r="G678" s="18"/>
      <c r="H678" s="21"/>
      <c r="I678" s="21"/>
      <c r="J678" s="21"/>
      <c r="K678" s="21"/>
      <c r="L678" s="21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2.75" customHeight="1">
      <c r="A679" s="18"/>
      <c r="B679" s="18"/>
      <c r="C679" s="18"/>
      <c r="D679" s="21"/>
      <c r="E679" s="20"/>
      <c r="F679" s="20"/>
      <c r="G679" s="18"/>
      <c r="H679" s="21"/>
      <c r="I679" s="21"/>
      <c r="J679" s="21"/>
      <c r="K679" s="21"/>
      <c r="L679" s="21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2.75" customHeight="1">
      <c r="A680" s="18"/>
      <c r="B680" s="18"/>
      <c r="C680" s="18"/>
      <c r="D680" s="21"/>
      <c r="E680" s="20"/>
      <c r="F680" s="20"/>
      <c r="G680" s="18"/>
      <c r="H680" s="21"/>
      <c r="I680" s="21"/>
      <c r="J680" s="21"/>
      <c r="K680" s="21"/>
      <c r="L680" s="21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2.75" customHeight="1">
      <c r="A681" s="18"/>
      <c r="B681" s="18"/>
      <c r="C681" s="18"/>
      <c r="D681" s="21"/>
      <c r="E681" s="20"/>
      <c r="F681" s="20"/>
      <c r="G681" s="18"/>
      <c r="H681" s="21"/>
      <c r="I681" s="21"/>
      <c r="J681" s="21"/>
      <c r="K681" s="21"/>
      <c r="L681" s="21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2.75" customHeight="1">
      <c r="A682" s="18"/>
      <c r="B682" s="18"/>
      <c r="C682" s="18"/>
      <c r="D682" s="21"/>
      <c r="E682" s="20"/>
      <c r="F682" s="20"/>
      <c r="G682" s="18"/>
      <c r="H682" s="21"/>
      <c r="I682" s="21"/>
      <c r="J682" s="21"/>
      <c r="K682" s="21"/>
      <c r="L682" s="21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2.75" customHeight="1">
      <c r="A683" s="18"/>
      <c r="B683" s="18"/>
      <c r="C683" s="18"/>
      <c r="D683" s="21"/>
      <c r="E683" s="20"/>
      <c r="F683" s="20"/>
      <c r="G683" s="18"/>
      <c r="H683" s="21"/>
      <c r="I683" s="21"/>
      <c r="J683" s="21"/>
      <c r="K683" s="21"/>
      <c r="L683" s="21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2.75" customHeight="1">
      <c r="A684" s="18"/>
      <c r="B684" s="18"/>
      <c r="C684" s="18"/>
      <c r="D684" s="21"/>
      <c r="E684" s="20"/>
      <c r="F684" s="20"/>
      <c r="G684" s="18"/>
      <c r="H684" s="21"/>
      <c r="I684" s="21"/>
      <c r="J684" s="21"/>
      <c r="K684" s="21"/>
      <c r="L684" s="21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2.75" customHeight="1">
      <c r="A685" s="18"/>
      <c r="B685" s="18"/>
      <c r="C685" s="18"/>
      <c r="D685" s="21"/>
      <c r="E685" s="20"/>
      <c r="F685" s="20"/>
      <c r="G685" s="18"/>
      <c r="H685" s="21"/>
      <c r="I685" s="21"/>
      <c r="J685" s="21"/>
      <c r="K685" s="21"/>
      <c r="L685" s="21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2.75" customHeight="1">
      <c r="A686" s="18"/>
      <c r="B686" s="18"/>
      <c r="C686" s="18"/>
      <c r="D686" s="21"/>
      <c r="E686" s="20"/>
      <c r="F686" s="20"/>
      <c r="G686" s="18"/>
      <c r="H686" s="21"/>
      <c r="I686" s="21"/>
      <c r="J686" s="21"/>
      <c r="K686" s="21"/>
      <c r="L686" s="21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2.75" customHeight="1">
      <c r="A687" s="18"/>
      <c r="B687" s="18"/>
      <c r="C687" s="18"/>
      <c r="D687" s="21"/>
      <c r="E687" s="20"/>
      <c r="F687" s="20"/>
      <c r="G687" s="18"/>
      <c r="H687" s="21"/>
      <c r="I687" s="21"/>
      <c r="J687" s="21"/>
      <c r="K687" s="21"/>
      <c r="L687" s="21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2.75" customHeight="1">
      <c r="A688" s="18"/>
      <c r="B688" s="18"/>
      <c r="C688" s="18"/>
      <c r="D688" s="21"/>
      <c r="E688" s="20"/>
      <c r="F688" s="20"/>
      <c r="G688" s="18"/>
      <c r="H688" s="21"/>
      <c r="I688" s="21"/>
      <c r="J688" s="21"/>
      <c r="K688" s="21"/>
      <c r="L688" s="21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2.75" customHeight="1">
      <c r="A689" s="18"/>
      <c r="B689" s="18"/>
      <c r="C689" s="18"/>
      <c r="D689" s="21"/>
      <c r="E689" s="20"/>
      <c r="F689" s="20"/>
      <c r="G689" s="18"/>
      <c r="H689" s="21"/>
      <c r="I689" s="21"/>
      <c r="J689" s="21"/>
      <c r="K689" s="21"/>
      <c r="L689" s="21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2.75" customHeight="1">
      <c r="A690" s="18"/>
      <c r="B690" s="18"/>
      <c r="C690" s="18"/>
      <c r="D690" s="21"/>
      <c r="E690" s="20"/>
      <c r="F690" s="20"/>
      <c r="G690" s="18"/>
      <c r="H690" s="21"/>
      <c r="I690" s="21"/>
      <c r="J690" s="21"/>
      <c r="K690" s="21"/>
      <c r="L690" s="21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2.75" customHeight="1">
      <c r="A691" s="18"/>
      <c r="B691" s="18"/>
      <c r="C691" s="18"/>
      <c r="D691" s="21"/>
      <c r="E691" s="20"/>
      <c r="F691" s="20"/>
      <c r="G691" s="18"/>
      <c r="H691" s="21"/>
      <c r="I691" s="21"/>
      <c r="J691" s="21"/>
      <c r="K691" s="21"/>
      <c r="L691" s="21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2.75" customHeight="1">
      <c r="A692" s="18"/>
      <c r="B692" s="18"/>
      <c r="C692" s="18"/>
      <c r="D692" s="21"/>
      <c r="E692" s="20"/>
      <c r="F692" s="20"/>
      <c r="G692" s="18"/>
      <c r="H692" s="21"/>
      <c r="I692" s="21"/>
      <c r="J692" s="21"/>
      <c r="K692" s="21"/>
      <c r="L692" s="21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2.75" customHeight="1">
      <c r="A693" s="18"/>
      <c r="B693" s="18"/>
      <c r="C693" s="18"/>
      <c r="D693" s="21"/>
      <c r="E693" s="20"/>
      <c r="F693" s="20"/>
      <c r="G693" s="18"/>
      <c r="H693" s="21"/>
      <c r="I693" s="21"/>
      <c r="J693" s="21"/>
      <c r="K693" s="21"/>
      <c r="L693" s="21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2.75" customHeight="1">
      <c r="A694" s="18"/>
      <c r="B694" s="18"/>
      <c r="C694" s="18"/>
      <c r="D694" s="21"/>
      <c r="E694" s="20"/>
      <c r="F694" s="20"/>
      <c r="G694" s="18"/>
      <c r="H694" s="21"/>
      <c r="I694" s="21"/>
      <c r="J694" s="21"/>
      <c r="K694" s="21"/>
      <c r="L694" s="21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2.75" customHeight="1">
      <c r="A695" s="18"/>
      <c r="B695" s="18"/>
      <c r="C695" s="18"/>
      <c r="D695" s="21"/>
      <c r="E695" s="20"/>
      <c r="F695" s="20"/>
      <c r="G695" s="18"/>
      <c r="H695" s="21"/>
      <c r="I695" s="21"/>
      <c r="J695" s="21"/>
      <c r="K695" s="21"/>
      <c r="L695" s="21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2.75" customHeight="1">
      <c r="A696" s="18"/>
      <c r="B696" s="18"/>
      <c r="C696" s="18"/>
      <c r="D696" s="21"/>
      <c r="E696" s="20"/>
      <c r="F696" s="20"/>
      <c r="G696" s="18"/>
      <c r="H696" s="21"/>
      <c r="I696" s="21"/>
      <c r="J696" s="21"/>
      <c r="K696" s="21"/>
      <c r="L696" s="21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2.75" customHeight="1">
      <c r="A697" s="18"/>
      <c r="B697" s="18"/>
      <c r="C697" s="18"/>
      <c r="D697" s="21"/>
      <c r="E697" s="20"/>
      <c r="F697" s="20"/>
      <c r="G697" s="18"/>
      <c r="H697" s="21"/>
      <c r="I697" s="21"/>
      <c r="J697" s="21"/>
      <c r="K697" s="21"/>
      <c r="L697" s="21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2.75" customHeight="1">
      <c r="A698" s="18"/>
      <c r="B698" s="18"/>
      <c r="C698" s="18"/>
      <c r="D698" s="21"/>
      <c r="E698" s="20"/>
      <c r="F698" s="20"/>
      <c r="G698" s="18"/>
      <c r="H698" s="21"/>
      <c r="I698" s="21"/>
      <c r="J698" s="21"/>
      <c r="K698" s="21"/>
      <c r="L698" s="21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2.75" customHeight="1">
      <c r="A699" s="18"/>
      <c r="B699" s="18"/>
      <c r="C699" s="18"/>
      <c r="D699" s="21"/>
      <c r="E699" s="20"/>
      <c r="F699" s="20"/>
      <c r="G699" s="18"/>
      <c r="H699" s="21"/>
      <c r="I699" s="21"/>
      <c r="J699" s="21"/>
      <c r="K699" s="21"/>
      <c r="L699" s="21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2.75" customHeight="1">
      <c r="A700" s="18"/>
      <c r="B700" s="18"/>
      <c r="C700" s="18"/>
      <c r="D700" s="21"/>
      <c r="E700" s="20"/>
      <c r="F700" s="20"/>
      <c r="G700" s="18"/>
      <c r="H700" s="21"/>
      <c r="I700" s="21"/>
      <c r="J700" s="21"/>
      <c r="K700" s="21"/>
      <c r="L700" s="21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2.75" customHeight="1">
      <c r="A701" s="18"/>
      <c r="B701" s="18"/>
      <c r="C701" s="18"/>
      <c r="D701" s="21"/>
      <c r="E701" s="20"/>
      <c r="F701" s="20"/>
      <c r="G701" s="18"/>
      <c r="H701" s="21"/>
      <c r="I701" s="21"/>
      <c r="J701" s="21"/>
      <c r="K701" s="21"/>
      <c r="L701" s="21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2.75" customHeight="1">
      <c r="A702" s="18"/>
      <c r="B702" s="18"/>
      <c r="C702" s="18"/>
      <c r="D702" s="21"/>
      <c r="E702" s="20"/>
      <c r="F702" s="20"/>
      <c r="G702" s="18"/>
      <c r="H702" s="21"/>
      <c r="I702" s="21"/>
      <c r="J702" s="21"/>
      <c r="K702" s="21"/>
      <c r="L702" s="21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2.75" customHeight="1">
      <c r="A703" s="18"/>
      <c r="B703" s="18"/>
      <c r="C703" s="18"/>
      <c r="D703" s="21"/>
      <c r="E703" s="20"/>
      <c r="F703" s="20"/>
      <c r="G703" s="18"/>
      <c r="H703" s="21"/>
      <c r="I703" s="21"/>
      <c r="J703" s="21"/>
      <c r="K703" s="21"/>
      <c r="L703" s="21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2.75" customHeight="1">
      <c r="A704" s="18"/>
      <c r="B704" s="18"/>
      <c r="C704" s="18"/>
      <c r="D704" s="21"/>
      <c r="E704" s="20"/>
      <c r="F704" s="20"/>
      <c r="G704" s="18"/>
      <c r="H704" s="21"/>
      <c r="I704" s="21"/>
      <c r="J704" s="21"/>
      <c r="K704" s="21"/>
      <c r="L704" s="21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2.75" customHeight="1">
      <c r="A705" s="18"/>
      <c r="B705" s="18"/>
      <c r="C705" s="18"/>
      <c r="D705" s="21"/>
      <c r="E705" s="20"/>
      <c r="F705" s="20"/>
      <c r="G705" s="18"/>
      <c r="H705" s="21"/>
      <c r="I705" s="21"/>
      <c r="J705" s="21"/>
      <c r="K705" s="21"/>
      <c r="L705" s="21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2.75" customHeight="1">
      <c r="A706" s="18"/>
      <c r="B706" s="18"/>
      <c r="C706" s="18"/>
      <c r="D706" s="21"/>
      <c r="E706" s="20"/>
      <c r="F706" s="20"/>
      <c r="G706" s="18"/>
      <c r="H706" s="21"/>
      <c r="I706" s="21"/>
      <c r="J706" s="21"/>
      <c r="K706" s="21"/>
      <c r="L706" s="21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2.75" customHeight="1">
      <c r="A707" s="18"/>
      <c r="B707" s="18"/>
      <c r="C707" s="18"/>
      <c r="D707" s="21"/>
      <c r="E707" s="20"/>
      <c r="F707" s="20"/>
      <c r="G707" s="18"/>
      <c r="H707" s="21"/>
      <c r="I707" s="21"/>
      <c r="J707" s="21"/>
      <c r="K707" s="21"/>
      <c r="L707" s="21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2.75" customHeight="1">
      <c r="A708" s="18"/>
      <c r="B708" s="18"/>
      <c r="C708" s="18"/>
      <c r="D708" s="21"/>
      <c r="E708" s="20"/>
      <c r="F708" s="20"/>
      <c r="G708" s="18"/>
      <c r="H708" s="21"/>
      <c r="I708" s="21"/>
      <c r="J708" s="21"/>
      <c r="K708" s="21"/>
      <c r="L708" s="21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2.75" customHeight="1">
      <c r="A709" s="18"/>
      <c r="B709" s="18"/>
      <c r="C709" s="18"/>
      <c r="D709" s="21"/>
      <c r="E709" s="20"/>
      <c r="F709" s="20"/>
      <c r="G709" s="18"/>
      <c r="H709" s="21"/>
      <c r="I709" s="21"/>
      <c r="J709" s="21"/>
      <c r="K709" s="21"/>
      <c r="L709" s="21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2.75" customHeight="1">
      <c r="A710" s="18"/>
      <c r="B710" s="18"/>
      <c r="C710" s="18"/>
      <c r="D710" s="21"/>
      <c r="E710" s="20"/>
      <c r="F710" s="20"/>
      <c r="G710" s="18"/>
      <c r="H710" s="21"/>
      <c r="I710" s="21"/>
      <c r="J710" s="21"/>
      <c r="K710" s="21"/>
      <c r="L710" s="21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2.75" customHeight="1">
      <c r="A711" s="18"/>
      <c r="B711" s="18"/>
      <c r="C711" s="18"/>
      <c r="D711" s="21"/>
      <c r="E711" s="20"/>
      <c r="F711" s="20"/>
      <c r="G711" s="18"/>
      <c r="H711" s="21"/>
      <c r="I711" s="21"/>
      <c r="J711" s="21"/>
      <c r="K711" s="21"/>
      <c r="L711" s="21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2.75" customHeight="1">
      <c r="A712" s="18"/>
      <c r="B712" s="18"/>
      <c r="C712" s="18"/>
      <c r="D712" s="21"/>
      <c r="E712" s="20"/>
      <c r="F712" s="20"/>
      <c r="G712" s="18"/>
      <c r="H712" s="21"/>
      <c r="I712" s="21"/>
      <c r="J712" s="21"/>
      <c r="K712" s="21"/>
      <c r="L712" s="21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2.75" customHeight="1">
      <c r="A713" s="18"/>
      <c r="B713" s="18"/>
      <c r="C713" s="18"/>
      <c r="D713" s="21"/>
      <c r="E713" s="20"/>
      <c r="F713" s="20"/>
      <c r="G713" s="18"/>
      <c r="H713" s="21"/>
      <c r="I713" s="21"/>
      <c r="J713" s="21"/>
      <c r="K713" s="21"/>
      <c r="L713" s="21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2.75" customHeight="1">
      <c r="A714" s="18"/>
      <c r="B714" s="18"/>
      <c r="C714" s="18"/>
      <c r="D714" s="21"/>
      <c r="E714" s="20"/>
      <c r="F714" s="20"/>
      <c r="G714" s="18"/>
      <c r="H714" s="21"/>
      <c r="I714" s="21"/>
      <c r="J714" s="21"/>
      <c r="K714" s="21"/>
      <c r="L714" s="21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2.75" customHeight="1">
      <c r="A715" s="18"/>
      <c r="B715" s="18"/>
      <c r="C715" s="18"/>
      <c r="D715" s="21"/>
      <c r="E715" s="20"/>
      <c r="F715" s="20"/>
      <c r="G715" s="18"/>
      <c r="H715" s="21"/>
      <c r="I715" s="21"/>
      <c r="J715" s="21"/>
      <c r="K715" s="21"/>
      <c r="L715" s="21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2.75" customHeight="1">
      <c r="A716" s="18"/>
      <c r="B716" s="18"/>
      <c r="C716" s="18"/>
      <c r="D716" s="21"/>
      <c r="E716" s="20"/>
      <c r="F716" s="20"/>
      <c r="G716" s="18"/>
      <c r="H716" s="21"/>
      <c r="I716" s="21"/>
      <c r="J716" s="21"/>
      <c r="K716" s="21"/>
      <c r="L716" s="21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2.75" customHeight="1">
      <c r="A717" s="18"/>
      <c r="B717" s="18"/>
      <c r="C717" s="18"/>
      <c r="D717" s="21"/>
      <c r="E717" s="20"/>
      <c r="F717" s="20"/>
      <c r="G717" s="18"/>
      <c r="H717" s="21"/>
      <c r="I717" s="21"/>
      <c r="J717" s="21"/>
      <c r="K717" s="21"/>
      <c r="L717" s="21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2.75" customHeight="1">
      <c r="A718" s="18"/>
      <c r="B718" s="18"/>
      <c r="C718" s="18"/>
      <c r="D718" s="21"/>
      <c r="E718" s="20"/>
      <c r="F718" s="20"/>
      <c r="G718" s="18"/>
      <c r="H718" s="21"/>
      <c r="I718" s="21"/>
      <c r="J718" s="21"/>
      <c r="K718" s="21"/>
      <c r="L718" s="21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2.75" customHeight="1">
      <c r="A719" s="18"/>
      <c r="B719" s="18"/>
      <c r="C719" s="18"/>
      <c r="D719" s="21"/>
      <c r="E719" s="20"/>
      <c r="F719" s="20"/>
      <c r="G719" s="18"/>
      <c r="H719" s="21"/>
      <c r="I719" s="21"/>
      <c r="J719" s="21"/>
      <c r="K719" s="21"/>
      <c r="L719" s="21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2.75" customHeight="1">
      <c r="A720" s="18"/>
      <c r="B720" s="18"/>
      <c r="C720" s="18"/>
      <c r="D720" s="21"/>
      <c r="E720" s="20"/>
      <c r="F720" s="20"/>
      <c r="G720" s="18"/>
      <c r="H720" s="21"/>
      <c r="I720" s="21"/>
      <c r="J720" s="21"/>
      <c r="K720" s="21"/>
      <c r="L720" s="21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2.75" customHeight="1">
      <c r="A721" s="18"/>
      <c r="B721" s="18"/>
      <c r="C721" s="18"/>
      <c r="D721" s="21"/>
      <c r="E721" s="20"/>
      <c r="F721" s="20"/>
      <c r="G721" s="18"/>
      <c r="H721" s="21"/>
      <c r="I721" s="21"/>
      <c r="J721" s="21"/>
      <c r="K721" s="21"/>
      <c r="L721" s="21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2.75" customHeight="1">
      <c r="A722" s="18"/>
      <c r="B722" s="18"/>
      <c r="C722" s="18"/>
      <c r="D722" s="21"/>
      <c r="E722" s="20"/>
      <c r="F722" s="20"/>
      <c r="G722" s="18"/>
      <c r="H722" s="21"/>
      <c r="I722" s="21"/>
      <c r="J722" s="21"/>
      <c r="K722" s="21"/>
      <c r="L722" s="21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2.75" customHeight="1">
      <c r="A723" s="18"/>
      <c r="B723" s="18"/>
      <c r="C723" s="18"/>
      <c r="D723" s="21"/>
      <c r="E723" s="20"/>
      <c r="F723" s="20"/>
      <c r="G723" s="18"/>
      <c r="H723" s="21"/>
      <c r="I723" s="21"/>
      <c r="J723" s="21"/>
      <c r="K723" s="21"/>
      <c r="L723" s="21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2.75" customHeight="1">
      <c r="A724" s="18"/>
      <c r="B724" s="18"/>
      <c r="C724" s="18"/>
      <c r="D724" s="21"/>
      <c r="E724" s="20"/>
      <c r="F724" s="20"/>
      <c r="G724" s="18"/>
      <c r="H724" s="21"/>
      <c r="I724" s="21"/>
      <c r="J724" s="21"/>
      <c r="K724" s="21"/>
      <c r="L724" s="21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2.75" customHeight="1">
      <c r="A725" s="18"/>
      <c r="B725" s="18"/>
      <c r="C725" s="18"/>
      <c r="D725" s="21"/>
      <c r="E725" s="20"/>
      <c r="F725" s="20"/>
      <c r="G725" s="18"/>
      <c r="H725" s="21"/>
      <c r="I725" s="21"/>
      <c r="J725" s="21"/>
      <c r="K725" s="21"/>
      <c r="L725" s="21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2.75" customHeight="1">
      <c r="A726" s="18"/>
      <c r="B726" s="18"/>
      <c r="C726" s="18"/>
      <c r="D726" s="21"/>
      <c r="E726" s="20"/>
      <c r="F726" s="20"/>
      <c r="G726" s="18"/>
      <c r="H726" s="21"/>
      <c r="I726" s="21"/>
      <c r="J726" s="21"/>
      <c r="K726" s="21"/>
      <c r="L726" s="21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2.75" customHeight="1">
      <c r="A727" s="18"/>
      <c r="B727" s="18"/>
      <c r="C727" s="18"/>
      <c r="D727" s="21"/>
      <c r="E727" s="20"/>
      <c r="F727" s="20"/>
      <c r="G727" s="18"/>
      <c r="H727" s="21"/>
      <c r="I727" s="21"/>
      <c r="J727" s="21"/>
      <c r="K727" s="21"/>
      <c r="L727" s="21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2.75" customHeight="1">
      <c r="A728" s="18"/>
      <c r="B728" s="18"/>
      <c r="C728" s="18"/>
      <c r="D728" s="21"/>
      <c r="E728" s="20"/>
      <c r="F728" s="20"/>
      <c r="G728" s="18"/>
      <c r="H728" s="21"/>
      <c r="I728" s="21"/>
      <c r="J728" s="21"/>
      <c r="K728" s="21"/>
      <c r="L728" s="21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2.75" customHeight="1">
      <c r="A729" s="18"/>
      <c r="B729" s="18"/>
      <c r="C729" s="18"/>
      <c r="D729" s="21"/>
      <c r="E729" s="20"/>
      <c r="F729" s="20"/>
      <c r="G729" s="18"/>
      <c r="H729" s="21"/>
      <c r="I729" s="21"/>
      <c r="J729" s="21"/>
      <c r="K729" s="21"/>
      <c r="L729" s="21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2.75" customHeight="1">
      <c r="A730" s="18"/>
      <c r="B730" s="18"/>
      <c r="C730" s="18"/>
      <c r="D730" s="21"/>
      <c r="E730" s="20"/>
      <c r="F730" s="20"/>
      <c r="G730" s="18"/>
      <c r="H730" s="21"/>
      <c r="I730" s="21"/>
      <c r="J730" s="21"/>
      <c r="K730" s="21"/>
      <c r="L730" s="21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2.75" customHeight="1">
      <c r="A731" s="18"/>
      <c r="B731" s="18"/>
      <c r="C731" s="18"/>
      <c r="D731" s="21"/>
      <c r="E731" s="20"/>
      <c r="F731" s="20"/>
      <c r="G731" s="18"/>
      <c r="H731" s="21"/>
      <c r="I731" s="21"/>
      <c r="J731" s="21"/>
      <c r="K731" s="21"/>
      <c r="L731" s="21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2.75" customHeight="1">
      <c r="A732" s="18"/>
      <c r="B732" s="18"/>
      <c r="C732" s="18"/>
      <c r="D732" s="21"/>
      <c r="E732" s="20"/>
      <c r="F732" s="20"/>
      <c r="G732" s="18"/>
      <c r="H732" s="21"/>
      <c r="I732" s="21"/>
      <c r="J732" s="21"/>
      <c r="K732" s="21"/>
      <c r="L732" s="21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2.75" customHeight="1">
      <c r="A733" s="18"/>
      <c r="B733" s="18"/>
      <c r="C733" s="18"/>
      <c r="D733" s="21"/>
      <c r="E733" s="20"/>
      <c r="F733" s="20"/>
      <c r="G733" s="18"/>
      <c r="H733" s="21"/>
      <c r="I733" s="21"/>
      <c r="J733" s="21"/>
      <c r="K733" s="21"/>
      <c r="L733" s="21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2.75" customHeight="1">
      <c r="A734" s="18"/>
      <c r="B734" s="18"/>
      <c r="C734" s="18"/>
      <c r="D734" s="21"/>
      <c r="E734" s="20"/>
      <c r="F734" s="20"/>
      <c r="G734" s="18"/>
      <c r="H734" s="21"/>
      <c r="I734" s="21"/>
      <c r="J734" s="21"/>
      <c r="K734" s="21"/>
      <c r="L734" s="21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2.75" customHeight="1">
      <c r="A735" s="18"/>
      <c r="B735" s="18"/>
      <c r="C735" s="18"/>
      <c r="D735" s="21"/>
      <c r="E735" s="20"/>
      <c r="F735" s="20"/>
      <c r="G735" s="18"/>
      <c r="H735" s="21"/>
      <c r="I735" s="21"/>
      <c r="J735" s="21"/>
      <c r="K735" s="21"/>
      <c r="L735" s="21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2.75" customHeight="1">
      <c r="A736" s="18"/>
      <c r="B736" s="18"/>
      <c r="C736" s="18"/>
      <c r="D736" s="21"/>
      <c r="E736" s="20"/>
      <c r="F736" s="20"/>
      <c r="G736" s="18"/>
      <c r="H736" s="21"/>
      <c r="I736" s="21"/>
      <c r="J736" s="21"/>
      <c r="K736" s="21"/>
      <c r="L736" s="21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2.75" customHeight="1">
      <c r="A737" s="18"/>
      <c r="B737" s="18"/>
      <c r="C737" s="18"/>
      <c r="D737" s="21"/>
      <c r="E737" s="20"/>
      <c r="F737" s="20"/>
      <c r="G737" s="18"/>
      <c r="H737" s="21"/>
      <c r="I737" s="21"/>
      <c r="J737" s="21"/>
      <c r="K737" s="21"/>
      <c r="L737" s="21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2.75" customHeight="1">
      <c r="A738" s="18"/>
      <c r="B738" s="18"/>
      <c r="C738" s="18"/>
      <c r="D738" s="21"/>
      <c r="E738" s="20"/>
      <c r="F738" s="20"/>
      <c r="G738" s="18"/>
      <c r="H738" s="21"/>
      <c r="I738" s="21"/>
      <c r="J738" s="21"/>
      <c r="K738" s="21"/>
      <c r="L738" s="21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2.75" customHeight="1">
      <c r="A739" s="18"/>
      <c r="B739" s="18"/>
      <c r="C739" s="18"/>
      <c r="D739" s="21"/>
      <c r="E739" s="20"/>
      <c r="F739" s="20"/>
      <c r="G739" s="18"/>
      <c r="H739" s="21"/>
      <c r="I739" s="21"/>
      <c r="J739" s="21"/>
      <c r="K739" s="21"/>
      <c r="L739" s="21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2.75" customHeight="1">
      <c r="A740" s="18"/>
      <c r="B740" s="18"/>
      <c r="C740" s="18"/>
      <c r="D740" s="21"/>
      <c r="E740" s="20"/>
      <c r="F740" s="20"/>
      <c r="G740" s="18"/>
      <c r="H740" s="21"/>
      <c r="I740" s="21"/>
      <c r="J740" s="21"/>
      <c r="K740" s="21"/>
      <c r="L740" s="21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2.75" customHeight="1">
      <c r="A741" s="18"/>
      <c r="B741" s="18"/>
      <c r="C741" s="18"/>
      <c r="D741" s="21"/>
      <c r="E741" s="20"/>
      <c r="F741" s="20"/>
      <c r="G741" s="18"/>
      <c r="H741" s="21"/>
      <c r="I741" s="21"/>
      <c r="J741" s="21"/>
      <c r="K741" s="21"/>
      <c r="L741" s="21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2.75" customHeight="1">
      <c r="A742" s="18"/>
      <c r="B742" s="18"/>
      <c r="C742" s="18"/>
      <c r="D742" s="21"/>
      <c r="E742" s="20"/>
      <c r="F742" s="20"/>
      <c r="G742" s="18"/>
      <c r="H742" s="21"/>
      <c r="I742" s="21"/>
      <c r="J742" s="21"/>
      <c r="K742" s="21"/>
      <c r="L742" s="21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2.75" customHeight="1">
      <c r="A743" s="18"/>
      <c r="B743" s="18"/>
      <c r="C743" s="18"/>
      <c r="D743" s="21"/>
      <c r="E743" s="20"/>
      <c r="F743" s="20"/>
      <c r="G743" s="18"/>
      <c r="H743" s="21"/>
      <c r="I743" s="21"/>
      <c r="J743" s="21"/>
      <c r="K743" s="21"/>
      <c r="L743" s="21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2.75" customHeight="1">
      <c r="A744" s="18"/>
      <c r="B744" s="18"/>
      <c r="C744" s="18"/>
      <c r="D744" s="21"/>
      <c r="E744" s="20"/>
      <c r="F744" s="20"/>
      <c r="G744" s="18"/>
      <c r="H744" s="21"/>
      <c r="I744" s="21"/>
      <c r="J744" s="21"/>
      <c r="K744" s="21"/>
      <c r="L744" s="21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2.75" customHeight="1">
      <c r="A745" s="18"/>
      <c r="B745" s="18"/>
      <c r="C745" s="18"/>
      <c r="D745" s="21"/>
      <c r="E745" s="20"/>
      <c r="F745" s="20"/>
      <c r="G745" s="18"/>
      <c r="H745" s="21"/>
      <c r="I745" s="21"/>
      <c r="J745" s="21"/>
      <c r="K745" s="21"/>
      <c r="L745" s="21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2.75" customHeight="1">
      <c r="A746" s="18"/>
      <c r="B746" s="18"/>
      <c r="C746" s="18"/>
      <c r="D746" s="21"/>
      <c r="E746" s="20"/>
      <c r="F746" s="20"/>
      <c r="G746" s="18"/>
      <c r="H746" s="21"/>
      <c r="I746" s="21"/>
      <c r="J746" s="21"/>
      <c r="K746" s="21"/>
      <c r="L746" s="21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2.75" customHeight="1">
      <c r="A747" s="18"/>
      <c r="B747" s="18"/>
      <c r="C747" s="18"/>
      <c r="D747" s="21"/>
      <c r="E747" s="20"/>
      <c r="F747" s="20"/>
      <c r="G747" s="18"/>
      <c r="H747" s="21"/>
      <c r="I747" s="21"/>
      <c r="J747" s="21"/>
      <c r="K747" s="21"/>
      <c r="L747" s="21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2.75" customHeight="1">
      <c r="A748" s="18"/>
      <c r="B748" s="18"/>
      <c r="C748" s="18"/>
      <c r="D748" s="21"/>
      <c r="E748" s="20"/>
      <c r="F748" s="20"/>
      <c r="G748" s="18"/>
      <c r="H748" s="21"/>
      <c r="I748" s="21"/>
      <c r="J748" s="21"/>
      <c r="K748" s="21"/>
      <c r="L748" s="21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2.75" customHeight="1">
      <c r="A749" s="18"/>
      <c r="B749" s="18"/>
      <c r="C749" s="18"/>
      <c r="D749" s="21"/>
      <c r="E749" s="20"/>
      <c r="F749" s="20"/>
      <c r="G749" s="18"/>
      <c r="H749" s="21"/>
      <c r="I749" s="21"/>
      <c r="J749" s="21"/>
      <c r="K749" s="21"/>
      <c r="L749" s="21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2.75" customHeight="1">
      <c r="A750" s="18"/>
      <c r="B750" s="18"/>
      <c r="C750" s="18"/>
      <c r="D750" s="21"/>
      <c r="E750" s="20"/>
      <c r="F750" s="20"/>
      <c r="G750" s="18"/>
      <c r="H750" s="21"/>
      <c r="I750" s="21"/>
      <c r="J750" s="21"/>
      <c r="K750" s="21"/>
      <c r="L750" s="21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2.75" customHeight="1">
      <c r="A751" s="18"/>
      <c r="B751" s="18"/>
      <c r="C751" s="18"/>
      <c r="D751" s="21"/>
      <c r="E751" s="20"/>
      <c r="F751" s="20"/>
      <c r="G751" s="18"/>
      <c r="H751" s="21"/>
      <c r="I751" s="21"/>
      <c r="J751" s="21"/>
      <c r="K751" s="21"/>
      <c r="L751" s="21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2.75" customHeight="1">
      <c r="A752" s="18"/>
      <c r="B752" s="18"/>
      <c r="C752" s="18"/>
      <c r="D752" s="21"/>
      <c r="E752" s="20"/>
      <c r="F752" s="20"/>
      <c r="G752" s="18"/>
      <c r="H752" s="21"/>
      <c r="I752" s="21"/>
      <c r="J752" s="21"/>
      <c r="K752" s="21"/>
      <c r="L752" s="21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2.75" customHeight="1">
      <c r="A753" s="18"/>
      <c r="B753" s="18"/>
      <c r="C753" s="18"/>
      <c r="D753" s="21"/>
      <c r="E753" s="20"/>
      <c r="F753" s="20"/>
      <c r="G753" s="18"/>
      <c r="H753" s="21"/>
      <c r="I753" s="21"/>
      <c r="J753" s="21"/>
      <c r="K753" s="21"/>
      <c r="L753" s="21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2.75" customHeight="1">
      <c r="A754" s="18"/>
      <c r="B754" s="18"/>
      <c r="C754" s="18"/>
      <c r="D754" s="21"/>
      <c r="E754" s="20"/>
      <c r="F754" s="20"/>
      <c r="G754" s="18"/>
      <c r="H754" s="21"/>
      <c r="I754" s="21"/>
      <c r="J754" s="21"/>
      <c r="K754" s="21"/>
      <c r="L754" s="21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2.75" customHeight="1">
      <c r="A755" s="18"/>
      <c r="B755" s="18"/>
      <c r="C755" s="18"/>
      <c r="D755" s="21"/>
      <c r="E755" s="20"/>
      <c r="F755" s="20"/>
      <c r="G755" s="18"/>
      <c r="H755" s="21"/>
      <c r="I755" s="21"/>
      <c r="J755" s="21"/>
      <c r="K755" s="21"/>
      <c r="L755" s="21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2.75" customHeight="1">
      <c r="A756" s="18"/>
      <c r="B756" s="18"/>
      <c r="C756" s="18"/>
      <c r="D756" s="21"/>
      <c r="E756" s="20"/>
      <c r="F756" s="20"/>
      <c r="G756" s="18"/>
      <c r="H756" s="21"/>
      <c r="I756" s="21"/>
      <c r="J756" s="21"/>
      <c r="K756" s="21"/>
      <c r="L756" s="21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2.75" customHeight="1">
      <c r="A757" s="18"/>
      <c r="B757" s="18"/>
      <c r="C757" s="18"/>
      <c r="D757" s="21"/>
      <c r="E757" s="20"/>
      <c r="F757" s="20"/>
      <c r="G757" s="18"/>
      <c r="H757" s="21"/>
      <c r="I757" s="21"/>
      <c r="J757" s="21"/>
      <c r="K757" s="21"/>
      <c r="L757" s="21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2.75" customHeight="1">
      <c r="A758" s="18"/>
      <c r="B758" s="18"/>
      <c r="C758" s="18"/>
      <c r="D758" s="21"/>
      <c r="E758" s="20"/>
      <c r="F758" s="20"/>
      <c r="G758" s="18"/>
      <c r="H758" s="21"/>
      <c r="I758" s="21"/>
      <c r="J758" s="21"/>
      <c r="K758" s="21"/>
      <c r="L758" s="21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2.75" customHeight="1">
      <c r="A759" s="18"/>
      <c r="B759" s="18"/>
      <c r="C759" s="18"/>
      <c r="D759" s="21"/>
      <c r="E759" s="20"/>
      <c r="F759" s="20"/>
      <c r="G759" s="18"/>
      <c r="H759" s="21"/>
      <c r="I759" s="21"/>
      <c r="J759" s="21"/>
      <c r="K759" s="21"/>
      <c r="L759" s="21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2.75" customHeight="1">
      <c r="A760" s="18"/>
      <c r="B760" s="18"/>
      <c r="C760" s="18"/>
      <c r="D760" s="21"/>
      <c r="E760" s="20"/>
      <c r="F760" s="20"/>
      <c r="G760" s="18"/>
      <c r="H760" s="21"/>
      <c r="I760" s="21"/>
      <c r="J760" s="21"/>
      <c r="K760" s="21"/>
      <c r="L760" s="21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2.75" customHeight="1">
      <c r="A761" s="18"/>
      <c r="B761" s="18"/>
      <c r="C761" s="18"/>
      <c r="D761" s="21"/>
      <c r="E761" s="20"/>
      <c r="F761" s="20"/>
      <c r="G761" s="18"/>
      <c r="H761" s="21"/>
      <c r="I761" s="21"/>
      <c r="J761" s="21"/>
      <c r="K761" s="21"/>
      <c r="L761" s="21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2.75" customHeight="1">
      <c r="A762" s="18"/>
      <c r="B762" s="18"/>
      <c r="C762" s="18"/>
      <c r="D762" s="21"/>
      <c r="E762" s="20"/>
      <c r="F762" s="20"/>
      <c r="G762" s="18"/>
      <c r="H762" s="21"/>
      <c r="I762" s="21"/>
      <c r="J762" s="21"/>
      <c r="K762" s="21"/>
      <c r="L762" s="21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2.75" customHeight="1">
      <c r="A763" s="18"/>
      <c r="B763" s="18"/>
      <c r="C763" s="18"/>
      <c r="D763" s="21"/>
      <c r="E763" s="20"/>
      <c r="F763" s="20"/>
      <c r="G763" s="18"/>
      <c r="H763" s="21"/>
      <c r="I763" s="21"/>
      <c r="J763" s="21"/>
      <c r="K763" s="21"/>
      <c r="L763" s="21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2.75" customHeight="1">
      <c r="A764" s="18"/>
      <c r="B764" s="18"/>
      <c r="C764" s="18"/>
      <c r="D764" s="21"/>
      <c r="E764" s="20"/>
      <c r="F764" s="20"/>
      <c r="G764" s="18"/>
      <c r="H764" s="21"/>
      <c r="I764" s="21"/>
      <c r="J764" s="21"/>
      <c r="K764" s="21"/>
      <c r="L764" s="21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2.75" customHeight="1">
      <c r="A765" s="18"/>
      <c r="B765" s="18"/>
      <c r="C765" s="18"/>
      <c r="D765" s="21"/>
      <c r="E765" s="20"/>
      <c r="F765" s="20"/>
      <c r="G765" s="18"/>
      <c r="H765" s="21"/>
      <c r="I765" s="21"/>
      <c r="J765" s="21"/>
      <c r="K765" s="21"/>
      <c r="L765" s="21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2.75" customHeight="1">
      <c r="A766" s="18"/>
      <c r="B766" s="18"/>
      <c r="C766" s="18"/>
      <c r="D766" s="21"/>
      <c r="E766" s="20"/>
      <c r="F766" s="20"/>
      <c r="G766" s="18"/>
      <c r="H766" s="21"/>
      <c r="I766" s="21"/>
      <c r="J766" s="21"/>
      <c r="K766" s="21"/>
      <c r="L766" s="21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2.75" customHeight="1">
      <c r="A767" s="18"/>
      <c r="B767" s="18"/>
      <c r="C767" s="18"/>
      <c r="D767" s="21"/>
      <c r="E767" s="20"/>
      <c r="F767" s="20"/>
      <c r="G767" s="18"/>
      <c r="H767" s="21"/>
      <c r="I767" s="21"/>
      <c r="J767" s="21"/>
      <c r="K767" s="21"/>
      <c r="L767" s="21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2.75" customHeight="1">
      <c r="A768" s="18"/>
      <c r="B768" s="18"/>
      <c r="C768" s="18"/>
      <c r="D768" s="21"/>
      <c r="E768" s="20"/>
      <c r="F768" s="20"/>
      <c r="G768" s="18"/>
      <c r="H768" s="21"/>
      <c r="I768" s="21"/>
      <c r="J768" s="21"/>
      <c r="K768" s="21"/>
      <c r="L768" s="21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2.75" customHeight="1">
      <c r="A769" s="18"/>
      <c r="B769" s="18"/>
      <c r="C769" s="18"/>
      <c r="D769" s="21"/>
      <c r="E769" s="20"/>
      <c r="F769" s="20"/>
      <c r="G769" s="18"/>
      <c r="H769" s="21"/>
      <c r="I769" s="21"/>
      <c r="J769" s="21"/>
      <c r="K769" s="21"/>
      <c r="L769" s="21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2.75" customHeight="1">
      <c r="A770" s="18"/>
      <c r="B770" s="18"/>
      <c r="C770" s="18"/>
      <c r="D770" s="21"/>
      <c r="E770" s="20"/>
      <c r="F770" s="20"/>
      <c r="G770" s="18"/>
      <c r="H770" s="21"/>
      <c r="I770" s="21"/>
      <c r="J770" s="21"/>
      <c r="K770" s="21"/>
      <c r="L770" s="21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2.75" customHeight="1">
      <c r="A771" s="18"/>
      <c r="B771" s="18"/>
      <c r="C771" s="18"/>
      <c r="D771" s="21"/>
      <c r="E771" s="20"/>
      <c r="F771" s="20"/>
      <c r="G771" s="18"/>
      <c r="H771" s="21"/>
      <c r="I771" s="21"/>
      <c r="J771" s="21"/>
      <c r="K771" s="21"/>
      <c r="L771" s="21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2.75" customHeight="1">
      <c r="A772" s="18"/>
      <c r="B772" s="18"/>
      <c r="C772" s="18"/>
      <c r="D772" s="21"/>
      <c r="E772" s="20"/>
      <c r="F772" s="20"/>
      <c r="G772" s="18"/>
      <c r="H772" s="21"/>
      <c r="I772" s="21"/>
      <c r="J772" s="21"/>
      <c r="K772" s="21"/>
      <c r="L772" s="21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2.75" customHeight="1">
      <c r="A773" s="18"/>
      <c r="B773" s="18"/>
      <c r="C773" s="18"/>
      <c r="D773" s="21"/>
      <c r="E773" s="20"/>
      <c r="F773" s="20"/>
      <c r="G773" s="18"/>
      <c r="H773" s="21"/>
      <c r="I773" s="21"/>
      <c r="J773" s="21"/>
      <c r="K773" s="21"/>
      <c r="L773" s="21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2.75" customHeight="1">
      <c r="A774" s="18"/>
      <c r="B774" s="18"/>
      <c r="C774" s="18"/>
      <c r="D774" s="21"/>
      <c r="E774" s="20"/>
      <c r="F774" s="20"/>
      <c r="G774" s="18"/>
      <c r="H774" s="21"/>
      <c r="I774" s="21"/>
      <c r="J774" s="21"/>
      <c r="K774" s="21"/>
      <c r="L774" s="21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2.75" customHeight="1">
      <c r="A775" s="18"/>
      <c r="B775" s="18"/>
      <c r="C775" s="18"/>
      <c r="D775" s="21"/>
      <c r="E775" s="20"/>
      <c r="F775" s="20"/>
      <c r="G775" s="18"/>
      <c r="H775" s="21"/>
      <c r="I775" s="21"/>
      <c r="J775" s="21"/>
      <c r="K775" s="21"/>
      <c r="L775" s="21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2.75" customHeight="1">
      <c r="A776" s="18"/>
      <c r="B776" s="18"/>
      <c r="C776" s="18"/>
      <c r="D776" s="21"/>
      <c r="E776" s="20"/>
      <c r="F776" s="20"/>
      <c r="G776" s="18"/>
      <c r="H776" s="21"/>
      <c r="I776" s="21"/>
      <c r="J776" s="21"/>
      <c r="K776" s="21"/>
      <c r="L776" s="21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2.75" customHeight="1">
      <c r="A777" s="18"/>
      <c r="B777" s="18"/>
      <c r="C777" s="18"/>
      <c r="D777" s="21"/>
      <c r="E777" s="20"/>
      <c r="F777" s="20"/>
      <c r="G777" s="18"/>
      <c r="H777" s="21"/>
      <c r="I777" s="21"/>
      <c r="J777" s="21"/>
      <c r="K777" s="21"/>
      <c r="L777" s="21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2.75" customHeight="1">
      <c r="A778" s="18"/>
      <c r="B778" s="18"/>
      <c r="C778" s="18"/>
      <c r="D778" s="21"/>
      <c r="E778" s="20"/>
      <c r="F778" s="20"/>
      <c r="G778" s="18"/>
      <c r="H778" s="21"/>
      <c r="I778" s="21"/>
      <c r="J778" s="21"/>
      <c r="K778" s="21"/>
      <c r="L778" s="21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2.75" customHeight="1">
      <c r="A779" s="18"/>
      <c r="B779" s="18"/>
      <c r="C779" s="18"/>
      <c r="D779" s="21"/>
      <c r="E779" s="20"/>
      <c r="F779" s="20"/>
      <c r="G779" s="18"/>
      <c r="H779" s="21"/>
      <c r="I779" s="21"/>
      <c r="J779" s="21"/>
      <c r="K779" s="21"/>
      <c r="L779" s="21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2.75" customHeight="1">
      <c r="A780" s="18"/>
      <c r="B780" s="18"/>
      <c r="C780" s="18"/>
      <c r="D780" s="21"/>
      <c r="E780" s="20"/>
      <c r="F780" s="20"/>
      <c r="G780" s="18"/>
      <c r="H780" s="21"/>
      <c r="I780" s="21"/>
      <c r="J780" s="21"/>
      <c r="K780" s="21"/>
      <c r="L780" s="21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2.75" customHeight="1">
      <c r="A781" s="18"/>
      <c r="B781" s="18"/>
      <c r="C781" s="18"/>
      <c r="D781" s="21"/>
      <c r="E781" s="20"/>
      <c r="F781" s="20"/>
      <c r="G781" s="18"/>
      <c r="H781" s="21"/>
      <c r="I781" s="21"/>
      <c r="J781" s="21"/>
      <c r="K781" s="21"/>
      <c r="L781" s="21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2.75" customHeight="1">
      <c r="A782" s="18"/>
      <c r="B782" s="18"/>
      <c r="C782" s="18"/>
      <c r="D782" s="21"/>
      <c r="E782" s="20"/>
      <c r="F782" s="20"/>
      <c r="G782" s="18"/>
      <c r="H782" s="21"/>
      <c r="I782" s="21"/>
      <c r="J782" s="21"/>
      <c r="K782" s="21"/>
      <c r="L782" s="21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2.75" customHeight="1">
      <c r="A783" s="18"/>
      <c r="B783" s="18"/>
      <c r="C783" s="18"/>
      <c r="D783" s="21"/>
      <c r="E783" s="20"/>
      <c r="F783" s="20"/>
      <c r="G783" s="18"/>
      <c r="H783" s="21"/>
      <c r="I783" s="21"/>
      <c r="J783" s="21"/>
      <c r="K783" s="21"/>
      <c r="L783" s="21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2.75" customHeight="1">
      <c r="A784" s="18"/>
      <c r="B784" s="18"/>
      <c r="C784" s="18"/>
      <c r="D784" s="21"/>
      <c r="E784" s="20"/>
      <c r="F784" s="20"/>
      <c r="G784" s="18"/>
      <c r="H784" s="21"/>
      <c r="I784" s="21"/>
      <c r="J784" s="21"/>
      <c r="K784" s="21"/>
      <c r="L784" s="21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2.75" customHeight="1">
      <c r="A785" s="18"/>
      <c r="B785" s="18"/>
      <c r="C785" s="18"/>
      <c r="D785" s="21"/>
      <c r="E785" s="20"/>
      <c r="F785" s="20"/>
      <c r="G785" s="18"/>
      <c r="H785" s="21"/>
      <c r="I785" s="21"/>
      <c r="J785" s="21"/>
      <c r="K785" s="21"/>
      <c r="L785" s="21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2.75" customHeight="1">
      <c r="A786" s="18"/>
      <c r="B786" s="18"/>
      <c r="C786" s="18"/>
      <c r="D786" s="21"/>
      <c r="E786" s="20"/>
      <c r="F786" s="20"/>
      <c r="G786" s="18"/>
      <c r="H786" s="21"/>
      <c r="I786" s="21"/>
      <c r="J786" s="21"/>
      <c r="K786" s="21"/>
      <c r="L786" s="21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2.75" customHeight="1">
      <c r="A787" s="18"/>
      <c r="B787" s="18"/>
      <c r="C787" s="18"/>
      <c r="D787" s="21"/>
      <c r="E787" s="20"/>
      <c r="F787" s="20"/>
      <c r="G787" s="18"/>
      <c r="H787" s="21"/>
      <c r="I787" s="21"/>
      <c r="J787" s="21"/>
      <c r="K787" s="21"/>
      <c r="L787" s="21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2.75" customHeight="1">
      <c r="A788" s="18"/>
      <c r="B788" s="18"/>
      <c r="C788" s="18"/>
      <c r="D788" s="21"/>
      <c r="E788" s="20"/>
      <c r="F788" s="20"/>
      <c r="G788" s="18"/>
      <c r="H788" s="21"/>
      <c r="I788" s="21"/>
      <c r="J788" s="21"/>
      <c r="K788" s="21"/>
      <c r="L788" s="21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2.75" customHeight="1">
      <c r="A789" s="18"/>
      <c r="B789" s="18"/>
      <c r="C789" s="18"/>
      <c r="D789" s="21"/>
      <c r="E789" s="20"/>
      <c r="F789" s="20"/>
      <c r="G789" s="18"/>
      <c r="H789" s="21"/>
      <c r="I789" s="21"/>
      <c r="J789" s="21"/>
      <c r="K789" s="21"/>
      <c r="L789" s="21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2.75" customHeight="1">
      <c r="A790" s="18"/>
      <c r="B790" s="18"/>
      <c r="C790" s="18"/>
      <c r="D790" s="21"/>
      <c r="E790" s="20"/>
      <c r="F790" s="20"/>
      <c r="G790" s="18"/>
      <c r="H790" s="21"/>
      <c r="I790" s="21"/>
      <c r="J790" s="21"/>
      <c r="K790" s="21"/>
      <c r="L790" s="21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2.75" customHeight="1">
      <c r="A791" s="18"/>
      <c r="B791" s="18"/>
      <c r="C791" s="18"/>
      <c r="D791" s="21"/>
      <c r="E791" s="20"/>
      <c r="F791" s="20"/>
      <c r="G791" s="18"/>
      <c r="H791" s="21"/>
      <c r="I791" s="21"/>
      <c r="J791" s="21"/>
      <c r="K791" s="21"/>
      <c r="L791" s="21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2.75" customHeight="1">
      <c r="A792" s="18"/>
      <c r="B792" s="18"/>
      <c r="C792" s="18"/>
      <c r="D792" s="21"/>
      <c r="E792" s="20"/>
      <c r="F792" s="20"/>
      <c r="G792" s="18"/>
      <c r="H792" s="21"/>
      <c r="I792" s="21"/>
      <c r="J792" s="21"/>
      <c r="K792" s="21"/>
      <c r="L792" s="21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2.75" customHeight="1">
      <c r="A793" s="18"/>
      <c r="B793" s="18"/>
      <c r="C793" s="18"/>
      <c r="D793" s="21"/>
      <c r="E793" s="20"/>
      <c r="F793" s="20"/>
      <c r="G793" s="18"/>
      <c r="H793" s="21"/>
      <c r="I793" s="21"/>
      <c r="J793" s="21"/>
      <c r="K793" s="21"/>
      <c r="L793" s="21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2.75" customHeight="1">
      <c r="A794" s="18"/>
      <c r="B794" s="18"/>
      <c r="C794" s="18"/>
      <c r="D794" s="21"/>
      <c r="E794" s="20"/>
      <c r="F794" s="20"/>
      <c r="G794" s="18"/>
      <c r="H794" s="21"/>
      <c r="I794" s="21"/>
      <c r="J794" s="21"/>
      <c r="K794" s="21"/>
      <c r="L794" s="21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2.75" customHeight="1">
      <c r="A795" s="18"/>
      <c r="B795" s="18"/>
      <c r="C795" s="18"/>
      <c r="D795" s="21"/>
      <c r="E795" s="20"/>
      <c r="F795" s="20"/>
      <c r="G795" s="18"/>
      <c r="H795" s="21"/>
      <c r="I795" s="21"/>
      <c r="J795" s="21"/>
      <c r="K795" s="21"/>
      <c r="L795" s="21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2.75" customHeight="1">
      <c r="A796" s="18"/>
      <c r="B796" s="18"/>
      <c r="C796" s="18"/>
      <c r="D796" s="21"/>
      <c r="E796" s="20"/>
      <c r="F796" s="20"/>
      <c r="G796" s="18"/>
      <c r="H796" s="21"/>
      <c r="I796" s="21"/>
      <c r="J796" s="21"/>
      <c r="K796" s="21"/>
      <c r="L796" s="21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2.75" customHeight="1">
      <c r="A797" s="18"/>
      <c r="B797" s="18"/>
      <c r="C797" s="18"/>
      <c r="D797" s="21"/>
      <c r="E797" s="20"/>
      <c r="F797" s="20"/>
      <c r="G797" s="18"/>
      <c r="H797" s="21"/>
      <c r="I797" s="21"/>
      <c r="J797" s="21"/>
      <c r="K797" s="21"/>
      <c r="L797" s="21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2.75" customHeight="1">
      <c r="A798" s="18"/>
      <c r="B798" s="18"/>
      <c r="C798" s="18"/>
      <c r="D798" s="21"/>
      <c r="E798" s="20"/>
      <c r="F798" s="20"/>
      <c r="G798" s="18"/>
      <c r="H798" s="21"/>
      <c r="I798" s="21"/>
      <c r="J798" s="21"/>
      <c r="K798" s="21"/>
      <c r="L798" s="21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2.75" customHeight="1">
      <c r="A799" s="18"/>
      <c r="B799" s="18"/>
      <c r="C799" s="18"/>
      <c r="D799" s="21"/>
      <c r="E799" s="20"/>
      <c r="F799" s="20"/>
      <c r="G799" s="18"/>
      <c r="H799" s="21"/>
      <c r="I799" s="21"/>
      <c r="J799" s="21"/>
      <c r="K799" s="21"/>
      <c r="L799" s="21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2.75" customHeight="1">
      <c r="A800" s="18"/>
      <c r="B800" s="18"/>
      <c r="C800" s="18"/>
      <c r="D800" s="21"/>
      <c r="E800" s="20"/>
      <c r="F800" s="20"/>
      <c r="G800" s="18"/>
      <c r="H800" s="21"/>
      <c r="I800" s="21"/>
      <c r="J800" s="21"/>
      <c r="K800" s="21"/>
      <c r="L800" s="21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2.75" customHeight="1">
      <c r="A801" s="18"/>
      <c r="B801" s="18"/>
      <c r="C801" s="18"/>
      <c r="D801" s="21"/>
      <c r="E801" s="20"/>
      <c r="F801" s="20"/>
      <c r="G801" s="18"/>
      <c r="H801" s="21"/>
      <c r="I801" s="21"/>
      <c r="J801" s="21"/>
      <c r="K801" s="21"/>
      <c r="L801" s="21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2.75" customHeight="1">
      <c r="A802" s="18"/>
      <c r="B802" s="18"/>
      <c r="C802" s="18"/>
      <c r="D802" s="21"/>
      <c r="E802" s="20"/>
      <c r="F802" s="20"/>
      <c r="G802" s="18"/>
      <c r="H802" s="21"/>
      <c r="I802" s="21"/>
      <c r="J802" s="21"/>
      <c r="K802" s="21"/>
      <c r="L802" s="21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2.75" customHeight="1">
      <c r="A803" s="18"/>
      <c r="B803" s="18"/>
      <c r="C803" s="18"/>
      <c r="D803" s="21"/>
      <c r="E803" s="20"/>
      <c r="F803" s="20"/>
      <c r="G803" s="18"/>
      <c r="H803" s="21"/>
      <c r="I803" s="21"/>
      <c r="J803" s="21"/>
      <c r="K803" s="21"/>
      <c r="L803" s="21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2.75" customHeight="1">
      <c r="A804" s="18"/>
      <c r="B804" s="18"/>
      <c r="C804" s="18"/>
      <c r="D804" s="21"/>
      <c r="E804" s="20"/>
      <c r="F804" s="20"/>
      <c r="G804" s="18"/>
      <c r="H804" s="21"/>
      <c r="I804" s="21"/>
      <c r="J804" s="21"/>
      <c r="K804" s="21"/>
      <c r="L804" s="21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2.75" customHeight="1">
      <c r="A805" s="18"/>
      <c r="B805" s="18"/>
      <c r="C805" s="18"/>
      <c r="D805" s="21"/>
      <c r="E805" s="20"/>
      <c r="F805" s="20"/>
      <c r="G805" s="18"/>
      <c r="H805" s="21"/>
      <c r="I805" s="21"/>
      <c r="J805" s="21"/>
      <c r="K805" s="21"/>
      <c r="L805" s="21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2.75" customHeight="1">
      <c r="A806" s="18"/>
      <c r="B806" s="18"/>
      <c r="C806" s="18"/>
      <c r="D806" s="21"/>
      <c r="E806" s="20"/>
      <c r="F806" s="20"/>
      <c r="G806" s="18"/>
      <c r="H806" s="21"/>
      <c r="I806" s="21"/>
      <c r="J806" s="21"/>
      <c r="K806" s="21"/>
      <c r="L806" s="21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2.75" customHeight="1">
      <c r="A807" s="18"/>
      <c r="B807" s="18"/>
      <c r="C807" s="18"/>
      <c r="D807" s="21"/>
      <c r="E807" s="20"/>
      <c r="F807" s="20"/>
      <c r="G807" s="18"/>
      <c r="H807" s="21"/>
      <c r="I807" s="21"/>
      <c r="J807" s="21"/>
      <c r="K807" s="21"/>
      <c r="L807" s="21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2.75" customHeight="1">
      <c r="A808" s="18"/>
      <c r="B808" s="18"/>
      <c r="C808" s="18"/>
      <c r="D808" s="21"/>
      <c r="E808" s="20"/>
      <c r="F808" s="20"/>
      <c r="G808" s="18"/>
      <c r="H808" s="21"/>
      <c r="I808" s="21"/>
      <c r="J808" s="21"/>
      <c r="K808" s="21"/>
      <c r="L808" s="21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2.75" customHeight="1">
      <c r="A809" s="18"/>
      <c r="B809" s="18"/>
      <c r="C809" s="18"/>
      <c r="D809" s="21"/>
      <c r="E809" s="20"/>
      <c r="F809" s="20"/>
      <c r="G809" s="18"/>
      <c r="H809" s="21"/>
      <c r="I809" s="21"/>
      <c r="J809" s="21"/>
      <c r="K809" s="21"/>
      <c r="L809" s="21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2.75" customHeight="1">
      <c r="A810" s="18"/>
      <c r="B810" s="18"/>
      <c r="C810" s="18"/>
      <c r="D810" s="21"/>
      <c r="E810" s="20"/>
      <c r="F810" s="20"/>
      <c r="G810" s="18"/>
      <c r="H810" s="21"/>
      <c r="I810" s="21"/>
      <c r="J810" s="21"/>
      <c r="K810" s="21"/>
      <c r="L810" s="21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2.75" customHeight="1">
      <c r="A811" s="18"/>
      <c r="B811" s="18"/>
      <c r="C811" s="18"/>
      <c r="D811" s="21"/>
      <c r="E811" s="20"/>
      <c r="F811" s="20"/>
      <c r="G811" s="18"/>
      <c r="H811" s="21"/>
      <c r="I811" s="21"/>
      <c r="J811" s="21"/>
      <c r="K811" s="21"/>
      <c r="L811" s="21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2.75" customHeight="1">
      <c r="A812" s="18"/>
      <c r="B812" s="18"/>
      <c r="C812" s="18"/>
      <c r="D812" s="21"/>
      <c r="E812" s="20"/>
      <c r="F812" s="20"/>
      <c r="G812" s="18"/>
      <c r="H812" s="21"/>
      <c r="I812" s="21"/>
      <c r="J812" s="21"/>
      <c r="K812" s="21"/>
      <c r="L812" s="21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2.75" customHeight="1">
      <c r="A813" s="18"/>
      <c r="B813" s="18"/>
      <c r="C813" s="18"/>
      <c r="D813" s="21"/>
      <c r="E813" s="20"/>
      <c r="F813" s="20"/>
      <c r="G813" s="18"/>
      <c r="H813" s="21"/>
      <c r="I813" s="21"/>
      <c r="J813" s="21"/>
      <c r="K813" s="21"/>
      <c r="L813" s="21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2.75" customHeight="1">
      <c r="A814" s="18"/>
      <c r="B814" s="18"/>
      <c r="C814" s="18"/>
      <c r="D814" s="21"/>
      <c r="E814" s="20"/>
      <c r="F814" s="20"/>
      <c r="G814" s="18"/>
      <c r="H814" s="21"/>
      <c r="I814" s="21"/>
      <c r="J814" s="21"/>
      <c r="K814" s="21"/>
      <c r="L814" s="21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2.75" customHeight="1">
      <c r="A815" s="18"/>
      <c r="B815" s="18"/>
      <c r="C815" s="18"/>
      <c r="D815" s="21"/>
      <c r="E815" s="20"/>
      <c r="F815" s="20"/>
      <c r="G815" s="18"/>
      <c r="H815" s="21"/>
      <c r="I815" s="21"/>
      <c r="J815" s="21"/>
      <c r="K815" s="21"/>
      <c r="L815" s="21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2.75" customHeight="1">
      <c r="A816" s="18"/>
      <c r="B816" s="18"/>
      <c r="C816" s="18"/>
      <c r="D816" s="21"/>
      <c r="E816" s="20"/>
      <c r="F816" s="20"/>
      <c r="G816" s="18"/>
      <c r="H816" s="21"/>
      <c r="I816" s="21"/>
      <c r="J816" s="21"/>
      <c r="K816" s="21"/>
      <c r="L816" s="21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2.75" customHeight="1">
      <c r="A817" s="18"/>
      <c r="B817" s="18"/>
      <c r="C817" s="18"/>
      <c r="D817" s="21"/>
      <c r="E817" s="20"/>
      <c r="F817" s="20"/>
      <c r="G817" s="18"/>
      <c r="H817" s="21"/>
      <c r="I817" s="21"/>
      <c r="J817" s="21"/>
      <c r="K817" s="21"/>
      <c r="L817" s="21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2.75" customHeight="1">
      <c r="A818" s="18"/>
      <c r="B818" s="18"/>
      <c r="C818" s="18"/>
      <c r="D818" s="21"/>
      <c r="E818" s="20"/>
      <c r="F818" s="20"/>
      <c r="G818" s="18"/>
      <c r="H818" s="21"/>
      <c r="I818" s="21"/>
      <c r="J818" s="21"/>
      <c r="K818" s="21"/>
      <c r="L818" s="21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2.75" customHeight="1">
      <c r="A819" s="18"/>
      <c r="B819" s="18"/>
      <c r="C819" s="18"/>
      <c r="D819" s="21"/>
      <c r="E819" s="20"/>
      <c r="F819" s="20"/>
      <c r="G819" s="18"/>
      <c r="H819" s="21"/>
      <c r="I819" s="21"/>
      <c r="J819" s="21"/>
      <c r="K819" s="21"/>
      <c r="L819" s="21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2.75" customHeight="1">
      <c r="A820" s="18"/>
      <c r="B820" s="18"/>
      <c r="C820" s="18"/>
      <c r="D820" s="21"/>
      <c r="E820" s="20"/>
      <c r="F820" s="20"/>
      <c r="G820" s="18"/>
      <c r="H820" s="21"/>
      <c r="I820" s="21"/>
      <c r="J820" s="21"/>
      <c r="K820" s="21"/>
      <c r="L820" s="21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2.75" customHeight="1">
      <c r="A821" s="18"/>
      <c r="B821" s="18"/>
      <c r="C821" s="18"/>
      <c r="D821" s="21"/>
      <c r="E821" s="20"/>
      <c r="F821" s="20"/>
      <c r="G821" s="18"/>
      <c r="H821" s="21"/>
      <c r="I821" s="21"/>
      <c r="J821" s="21"/>
      <c r="K821" s="21"/>
      <c r="L821" s="21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2.75" customHeight="1">
      <c r="A822" s="18"/>
      <c r="B822" s="18"/>
      <c r="C822" s="18"/>
      <c r="D822" s="21"/>
      <c r="E822" s="20"/>
      <c r="F822" s="20"/>
      <c r="G822" s="18"/>
      <c r="H822" s="21"/>
      <c r="I822" s="21"/>
      <c r="J822" s="21"/>
      <c r="K822" s="21"/>
      <c r="L822" s="21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2.75" customHeight="1">
      <c r="A823" s="18"/>
      <c r="B823" s="18"/>
      <c r="C823" s="18"/>
      <c r="D823" s="21"/>
      <c r="E823" s="20"/>
      <c r="F823" s="20"/>
      <c r="G823" s="18"/>
      <c r="H823" s="21"/>
      <c r="I823" s="21"/>
      <c r="J823" s="21"/>
      <c r="K823" s="21"/>
      <c r="L823" s="21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2.75" customHeight="1">
      <c r="A824" s="18"/>
      <c r="B824" s="18"/>
      <c r="C824" s="18"/>
      <c r="D824" s="21"/>
      <c r="E824" s="20"/>
      <c r="F824" s="20"/>
      <c r="G824" s="18"/>
      <c r="H824" s="21"/>
      <c r="I824" s="21"/>
      <c r="J824" s="21"/>
      <c r="K824" s="21"/>
      <c r="L824" s="21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2.75" customHeight="1">
      <c r="A825" s="18"/>
      <c r="B825" s="18"/>
      <c r="C825" s="18"/>
      <c r="D825" s="21"/>
      <c r="E825" s="20"/>
      <c r="F825" s="20"/>
      <c r="G825" s="18"/>
      <c r="H825" s="21"/>
      <c r="I825" s="21"/>
      <c r="J825" s="21"/>
      <c r="K825" s="21"/>
      <c r="L825" s="21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2.75" customHeight="1">
      <c r="A826" s="18"/>
      <c r="B826" s="18"/>
      <c r="C826" s="18"/>
      <c r="D826" s="21"/>
      <c r="E826" s="20"/>
      <c r="F826" s="20"/>
      <c r="G826" s="18"/>
      <c r="H826" s="21"/>
      <c r="I826" s="21"/>
      <c r="J826" s="21"/>
      <c r="K826" s="21"/>
      <c r="L826" s="21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2.75" customHeight="1">
      <c r="A827" s="18"/>
      <c r="B827" s="18"/>
      <c r="C827" s="18"/>
      <c r="D827" s="21"/>
      <c r="E827" s="20"/>
      <c r="F827" s="20"/>
      <c r="G827" s="18"/>
      <c r="H827" s="21"/>
      <c r="I827" s="21"/>
      <c r="J827" s="21"/>
      <c r="K827" s="21"/>
      <c r="L827" s="21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2.75" customHeight="1">
      <c r="A828" s="18"/>
      <c r="B828" s="18"/>
      <c r="C828" s="18"/>
      <c r="D828" s="21"/>
      <c r="E828" s="20"/>
      <c r="F828" s="20"/>
      <c r="G828" s="18"/>
      <c r="H828" s="21"/>
      <c r="I828" s="21"/>
      <c r="J828" s="21"/>
      <c r="K828" s="21"/>
      <c r="L828" s="21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2.75" customHeight="1">
      <c r="A829" s="18"/>
      <c r="B829" s="18"/>
      <c r="C829" s="18"/>
      <c r="D829" s="21"/>
      <c r="E829" s="20"/>
      <c r="F829" s="20"/>
      <c r="G829" s="18"/>
      <c r="H829" s="21"/>
      <c r="I829" s="21"/>
      <c r="J829" s="21"/>
      <c r="K829" s="21"/>
      <c r="L829" s="21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2.75" customHeight="1">
      <c r="A830" s="18"/>
      <c r="B830" s="18"/>
      <c r="C830" s="18"/>
      <c r="D830" s="21"/>
      <c r="E830" s="20"/>
      <c r="F830" s="20"/>
      <c r="G830" s="18"/>
      <c r="H830" s="21"/>
      <c r="I830" s="21"/>
      <c r="J830" s="21"/>
      <c r="K830" s="21"/>
      <c r="L830" s="21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2.75" customHeight="1">
      <c r="A831" s="18"/>
      <c r="B831" s="18"/>
      <c r="C831" s="18"/>
      <c r="D831" s="21"/>
      <c r="E831" s="20"/>
      <c r="F831" s="20"/>
      <c r="G831" s="18"/>
      <c r="H831" s="21"/>
      <c r="I831" s="21"/>
      <c r="J831" s="21"/>
      <c r="K831" s="21"/>
      <c r="L831" s="21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2.75" customHeight="1">
      <c r="A832" s="18"/>
      <c r="B832" s="18"/>
      <c r="C832" s="18"/>
      <c r="D832" s="21"/>
      <c r="E832" s="20"/>
      <c r="F832" s="20"/>
      <c r="G832" s="18"/>
      <c r="H832" s="21"/>
      <c r="I832" s="21"/>
      <c r="J832" s="21"/>
      <c r="K832" s="21"/>
      <c r="L832" s="21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2.75" customHeight="1">
      <c r="A833" s="18"/>
      <c r="B833" s="18"/>
      <c r="C833" s="18"/>
      <c r="D833" s="21"/>
      <c r="E833" s="20"/>
      <c r="F833" s="20"/>
      <c r="G833" s="18"/>
      <c r="H833" s="21"/>
      <c r="I833" s="21"/>
      <c r="J833" s="21"/>
      <c r="K833" s="21"/>
      <c r="L833" s="21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2.75" customHeight="1">
      <c r="A834" s="18"/>
      <c r="B834" s="18"/>
      <c r="C834" s="18"/>
      <c r="D834" s="21"/>
      <c r="E834" s="20"/>
      <c r="F834" s="20"/>
      <c r="G834" s="18"/>
      <c r="H834" s="21"/>
      <c r="I834" s="21"/>
      <c r="J834" s="21"/>
      <c r="K834" s="21"/>
      <c r="L834" s="21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2.75" customHeight="1">
      <c r="A835" s="18"/>
      <c r="B835" s="18"/>
      <c r="C835" s="18"/>
      <c r="D835" s="21"/>
      <c r="E835" s="20"/>
      <c r="F835" s="20"/>
      <c r="G835" s="18"/>
      <c r="H835" s="21"/>
      <c r="I835" s="21"/>
      <c r="J835" s="21"/>
      <c r="K835" s="21"/>
      <c r="L835" s="21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2.75" customHeight="1">
      <c r="A836" s="18"/>
      <c r="B836" s="18"/>
      <c r="C836" s="18"/>
      <c r="D836" s="21"/>
      <c r="E836" s="20"/>
      <c r="F836" s="20"/>
      <c r="G836" s="18"/>
      <c r="H836" s="21"/>
      <c r="I836" s="21"/>
      <c r="J836" s="21"/>
      <c r="K836" s="21"/>
      <c r="L836" s="21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2.75" customHeight="1">
      <c r="A837" s="18"/>
      <c r="B837" s="18"/>
      <c r="C837" s="18"/>
      <c r="D837" s="21"/>
      <c r="E837" s="20"/>
      <c r="F837" s="20"/>
      <c r="G837" s="18"/>
      <c r="H837" s="21"/>
      <c r="I837" s="21"/>
      <c r="J837" s="21"/>
      <c r="K837" s="21"/>
      <c r="L837" s="21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2.75" customHeight="1">
      <c r="A838" s="18"/>
      <c r="B838" s="18"/>
      <c r="C838" s="18"/>
      <c r="D838" s="21"/>
      <c r="E838" s="20"/>
      <c r="F838" s="20"/>
      <c r="G838" s="18"/>
      <c r="H838" s="21"/>
      <c r="I838" s="21"/>
      <c r="J838" s="21"/>
      <c r="K838" s="21"/>
      <c r="L838" s="21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2.75" customHeight="1">
      <c r="A839" s="18"/>
      <c r="B839" s="18"/>
      <c r="C839" s="18"/>
      <c r="D839" s="21"/>
      <c r="E839" s="20"/>
      <c r="F839" s="20"/>
      <c r="G839" s="18"/>
      <c r="H839" s="21"/>
      <c r="I839" s="21"/>
      <c r="J839" s="21"/>
      <c r="K839" s="21"/>
      <c r="L839" s="21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2.75" customHeight="1">
      <c r="A840" s="18"/>
      <c r="B840" s="18"/>
      <c r="C840" s="18"/>
      <c r="D840" s="21"/>
      <c r="E840" s="20"/>
      <c r="F840" s="20"/>
      <c r="G840" s="18"/>
      <c r="H840" s="21"/>
      <c r="I840" s="21"/>
      <c r="J840" s="21"/>
      <c r="K840" s="21"/>
      <c r="L840" s="21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2.75" customHeight="1">
      <c r="A841" s="18"/>
      <c r="B841" s="18"/>
      <c r="C841" s="18"/>
      <c r="D841" s="21"/>
      <c r="E841" s="20"/>
      <c r="F841" s="20"/>
      <c r="G841" s="18"/>
      <c r="H841" s="21"/>
      <c r="I841" s="21"/>
      <c r="J841" s="21"/>
      <c r="K841" s="21"/>
      <c r="L841" s="21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2.75" customHeight="1">
      <c r="A842" s="18"/>
      <c r="B842" s="18"/>
      <c r="C842" s="18"/>
      <c r="D842" s="21"/>
      <c r="E842" s="20"/>
      <c r="F842" s="20"/>
      <c r="G842" s="18"/>
      <c r="H842" s="21"/>
      <c r="I842" s="21"/>
      <c r="J842" s="21"/>
      <c r="K842" s="21"/>
      <c r="L842" s="21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2.75" customHeight="1">
      <c r="A843" s="18"/>
      <c r="B843" s="18"/>
      <c r="C843" s="18"/>
      <c r="D843" s="21"/>
      <c r="E843" s="20"/>
      <c r="F843" s="20"/>
      <c r="G843" s="18"/>
      <c r="H843" s="21"/>
      <c r="I843" s="21"/>
      <c r="J843" s="21"/>
      <c r="K843" s="21"/>
      <c r="L843" s="21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2.75" customHeight="1">
      <c r="A844" s="18"/>
      <c r="B844" s="18"/>
      <c r="C844" s="18"/>
      <c r="D844" s="21"/>
      <c r="E844" s="20"/>
      <c r="F844" s="20"/>
      <c r="G844" s="18"/>
      <c r="H844" s="21"/>
      <c r="I844" s="21"/>
      <c r="J844" s="21"/>
      <c r="K844" s="21"/>
      <c r="L844" s="21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2.75" customHeight="1">
      <c r="A845" s="18"/>
      <c r="B845" s="18"/>
      <c r="C845" s="18"/>
      <c r="D845" s="21"/>
      <c r="E845" s="20"/>
      <c r="F845" s="20"/>
      <c r="G845" s="18"/>
      <c r="H845" s="21"/>
      <c r="I845" s="21"/>
      <c r="J845" s="21"/>
      <c r="K845" s="21"/>
      <c r="L845" s="21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2.75" customHeight="1">
      <c r="A846" s="18"/>
      <c r="B846" s="18"/>
      <c r="C846" s="18"/>
      <c r="D846" s="21"/>
      <c r="E846" s="20"/>
      <c r="F846" s="20"/>
      <c r="G846" s="18"/>
      <c r="H846" s="21"/>
      <c r="I846" s="21"/>
      <c r="J846" s="21"/>
      <c r="K846" s="21"/>
      <c r="L846" s="21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2.75" customHeight="1">
      <c r="A847" s="18"/>
      <c r="B847" s="18"/>
      <c r="C847" s="18"/>
      <c r="D847" s="21"/>
      <c r="E847" s="20"/>
      <c r="F847" s="20"/>
      <c r="G847" s="18"/>
      <c r="H847" s="21"/>
      <c r="I847" s="21"/>
      <c r="J847" s="21"/>
      <c r="K847" s="21"/>
      <c r="L847" s="21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2.75" customHeight="1">
      <c r="A848" s="18"/>
      <c r="B848" s="18"/>
      <c r="C848" s="18"/>
      <c r="D848" s="21"/>
      <c r="E848" s="20"/>
      <c r="F848" s="20"/>
      <c r="G848" s="18"/>
      <c r="H848" s="21"/>
      <c r="I848" s="21"/>
      <c r="J848" s="21"/>
      <c r="K848" s="21"/>
      <c r="L848" s="21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2.75" customHeight="1">
      <c r="A849" s="18"/>
      <c r="B849" s="18"/>
      <c r="C849" s="18"/>
      <c r="D849" s="21"/>
      <c r="E849" s="20"/>
      <c r="F849" s="20"/>
      <c r="G849" s="18"/>
      <c r="H849" s="21"/>
      <c r="I849" s="21"/>
      <c r="J849" s="21"/>
      <c r="K849" s="21"/>
      <c r="L849" s="21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2.75" customHeight="1">
      <c r="A850" s="18"/>
      <c r="B850" s="18"/>
      <c r="C850" s="18"/>
      <c r="D850" s="21"/>
      <c r="E850" s="20"/>
      <c r="F850" s="20"/>
      <c r="G850" s="18"/>
      <c r="H850" s="21"/>
      <c r="I850" s="21"/>
      <c r="J850" s="21"/>
      <c r="K850" s="21"/>
      <c r="L850" s="21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2.75" customHeight="1">
      <c r="A851" s="18"/>
      <c r="B851" s="18"/>
      <c r="C851" s="18"/>
      <c r="D851" s="21"/>
      <c r="E851" s="20"/>
      <c r="F851" s="20"/>
      <c r="G851" s="18"/>
      <c r="H851" s="21"/>
      <c r="I851" s="21"/>
      <c r="J851" s="21"/>
      <c r="K851" s="21"/>
      <c r="L851" s="21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2.75" customHeight="1">
      <c r="A852" s="18"/>
      <c r="B852" s="18"/>
      <c r="C852" s="18"/>
      <c r="D852" s="21"/>
      <c r="E852" s="20"/>
      <c r="F852" s="20"/>
      <c r="G852" s="18"/>
      <c r="H852" s="21"/>
      <c r="I852" s="21"/>
      <c r="J852" s="21"/>
      <c r="K852" s="21"/>
      <c r="L852" s="21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2.75" customHeight="1">
      <c r="A853" s="18"/>
      <c r="B853" s="18"/>
      <c r="C853" s="18"/>
      <c r="D853" s="21"/>
      <c r="E853" s="20"/>
      <c r="F853" s="20"/>
      <c r="G853" s="18"/>
      <c r="H853" s="21"/>
      <c r="I853" s="21"/>
      <c r="J853" s="21"/>
      <c r="K853" s="21"/>
      <c r="L853" s="21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2.75" customHeight="1">
      <c r="A854" s="18"/>
      <c r="B854" s="18"/>
      <c r="C854" s="18"/>
      <c r="D854" s="21"/>
      <c r="E854" s="20"/>
      <c r="F854" s="20"/>
      <c r="G854" s="18"/>
      <c r="H854" s="21"/>
      <c r="I854" s="21"/>
      <c r="J854" s="21"/>
      <c r="K854" s="21"/>
      <c r="L854" s="21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2.75" customHeight="1">
      <c r="A855" s="18"/>
      <c r="B855" s="18"/>
      <c r="C855" s="18"/>
      <c r="D855" s="21"/>
      <c r="E855" s="20"/>
      <c r="F855" s="20"/>
      <c r="G855" s="18"/>
      <c r="H855" s="21"/>
      <c r="I855" s="21"/>
      <c r="J855" s="21"/>
      <c r="K855" s="21"/>
      <c r="L855" s="21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2.75" customHeight="1">
      <c r="A856" s="18"/>
      <c r="B856" s="18"/>
      <c r="C856" s="18"/>
      <c r="D856" s="21"/>
      <c r="E856" s="20"/>
      <c r="F856" s="20"/>
      <c r="G856" s="18"/>
      <c r="H856" s="21"/>
      <c r="I856" s="21"/>
      <c r="J856" s="21"/>
      <c r="K856" s="21"/>
      <c r="L856" s="21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2.75" customHeight="1">
      <c r="A857" s="18"/>
      <c r="B857" s="18"/>
      <c r="C857" s="18"/>
      <c r="D857" s="21"/>
      <c r="E857" s="20"/>
      <c r="F857" s="20"/>
      <c r="G857" s="18"/>
      <c r="H857" s="21"/>
      <c r="I857" s="21"/>
      <c r="J857" s="21"/>
      <c r="K857" s="21"/>
      <c r="L857" s="21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2.75" customHeight="1">
      <c r="A858" s="18"/>
      <c r="B858" s="18"/>
      <c r="C858" s="18"/>
      <c r="D858" s="21"/>
      <c r="E858" s="20"/>
      <c r="F858" s="20"/>
      <c r="G858" s="18"/>
      <c r="H858" s="21"/>
      <c r="I858" s="21"/>
      <c r="J858" s="21"/>
      <c r="K858" s="21"/>
      <c r="L858" s="21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2.75" customHeight="1">
      <c r="A859" s="18"/>
      <c r="B859" s="18"/>
      <c r="C859" s="18"/>
      <c r="D859" s="21"/>
      <c r="E859" s="20"/>
      <c r="F859" s="20"/>
      <c r="G859" s="18"/>
      <c r="H859" s="21"/>
      <c r="I859" s="21"/>
      <c r="J859" s="21"/>
      <c r="K859" s="21"/>
      <c r="L859" s="21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2.75" customHeight="1">
      <c r="A860" s="18"/>
      <c r="B860" s="18"/>
      <c r="C860" s="18"/>
      <c r="D860" s="21"/>
      <c r="E860" s="20"/>
      <c r="F860" s="20"/>
      <c r="G860" s="18"/>
      <c r="H860" s="21"/>
      <c r="I860" s="21"/>
      <c r="J860" s="21"/>
      <c r="K860" s="21"/>
      <c r="L860" s="21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2.75" customHeight="1">
      <c r="A861" s="18"/>
      <c r="B861" s="18"/>
      <c r="C861" s="18"/>
      <c r="D861" s="21"/>
      <c r="E861" s="20"/>
      <c r="F861" s="20"/>
      <c r="G861" s="18"/>
      <c r="H861" s="21"/>
      <c r="I861" s="21"/>
      <c r="J861" s="21"/>
      <c r="K861" s="21"/>
      <c r="L861" s="21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2.75" customHeight="1">
      <c r="A862" s="18"/>
      <c r="B862" s="18"/>
      <c r="C862" s="18"/>
      <c r="D862" s="21"/>
      <c r="E862" s="20"/>
      <c r="F862" s="20"/>
      <c r="G862" s="18"/>
      <c r="H862" s="21"/>
      <c r="I862" s="21"/>
      <c r="J862" s="21"/>
      <c r="K862" s="21"/>
      <c r="L862" s="21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2.75" customHeight="1">
      <c r="A863" s="18"/>
      <c r="B863" s="18"/>
      <c r="C863" s="18"/>
      <c r="D863" s="21"/>
      <c r="E863" s="20"/>
      <c r="F863" s="20"/>
      <c r="G863" s="18"/>
      <c r="H863" s="21"/>
      <c r="I863" s="21"/>
      <c r="J863" s="21"/>
      <c r="K863" s="21"/>
      <c r="L863" s="21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2.75" customHeight="1">
      <c r="A864" s="18"/>
      <c r="B864" s="18"/>
      <c r="C864" s="18"/>
      <c r="D864" s="21"/>
      <c r="E864" s="20"/>
      <c r="F864" s="20"/>
      <c r="G864" s="18"/>
      <c r="H864" s="21"/>
      <c r="I864" s="21"/>
      <c r="J864" s="21"/>
      <c r="K864" s="21"/>
      <c r="L864" s="21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2.75" customHeight="1">
      <c r="A865" s="18"/>
      <c r="B865" s="18"/>
      <c r="C865" s="18"/>
      <c r="D865" s="21"/>
      <c r="E865" s="20"/>
      <c r="F865" s="20"/>
      <c r="G865" s="18"/>
      <c r="H865" s="21"/>
      <c r="I865" s="21"/>
      <c r="J865" s="21"/>
      <c r="K865" s="21"/>
      <c r="L865" s="21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2.75" customHeight="1">
      <c r="A866" s="18"/>
      <c r="B866" s="18"/>
      <c r="C866" s="18"/>
      <c r="D866" s="21"/>
      <c r="E866" s="20"/>
      <c r="F866" s="20"/>
      <c r="G866" s="18"/>
      <c r="H866" s="21"/>
      <c r="I866" s="21"/>
      <c r="J866" s="21"/>
      <c r="K866" s="21"/>
      <c r="L866" s="21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2.75" customHeight="1">
      <c r="A867" s="18"/>
      <c r="B867" s="18"/>
      <c r="C867" s="18"/>
      <c r="D867" s="21"/>
      <c r="E867" s="20"/>
      <c r="F867" s="20"/>
      <c r="G867" s="18"/>
      <c r="H867" s="21"/>
      <c r="I867" s="21"/>
      <c r="J867" s="21"/>
      <c r="K867" s="21"/>
      <c r="L867" s="21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2.75" customHeight="1">
      <c r="A868" s="18"/>
      <c r="B868" s="18"/>
      <c r="C868" s="18"/>
      <c r="D868" s="21"/>
      <c r="E868" s="20"/>
      <c r="F868" s="20"/>
      <c r="G868" s="18"/>
      <c r="H868" s="21"/>
      <c r="I868" s="21"/>
      <c r="J868" s="21"/>
      <c r="K868" s="21"/>
      <c r="L868" s="21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2.75" customHeight="1">
      <c r="A869" s="18"/>
      <c r="B869" s="18"/>
      <c r="C869" s="18"/>
      <c r="D869" s="21"/>
      <c r="E869" s="20"/>
      <c r="F869" s="20"/>
      <c r="G869" s="18"/>
      <c r="H869" s="21"/>
      <c r="I869" s="21"/>
      <c r="J869" s="21"/>
      <c r="K869" s="21"/>
      <c r="L869" s="21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2.75" customHeight="1">
      <c r="A870" s="18"/>
      <c r="B870" s="18"/>
      <c r="C870" s="18"/>
      <c r="D870" s="21"/>
      <c r="E870" s="20"/>
      <c r="F870" s="20"/>
      <c r="G870" s="18"/>
      <c r="H870" s="21"/>
      <c r="I870" s="21"/>
      <c r="J870" s="21"/>
      <c r="K870" s="21"/>
      <c r="L870" s="21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2.75" customHeight="1">
      <c r="A871" s="18"/>
      <c r="B871" s="18"/>
      <c r="C871" s="18"/>
      <c r="D871" s="21"/>
      <c r="E871" s="20"/>
      <c r="F871" s="20"/>
      <c r="G871" s="18"/>
      <c r="H871" s="21"/>
      <c r="I871" s="21"/>
      <c r="J871" s="21"/>
      <c r="K871" s="21"/>
      <c r="L871" s="21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2.75" customHeight="1">
      <c r="A872" s="18"/>
      <c r="B872" s="18"/>
      <c r="C872" s="18"/>
      <c r="D872" s="21"/>
      <c r="E872" s="20"/>
      <c r="F872" s="20"/>
      <c r="G872" s="18"/>
      <c r="H872" s="21"/>
      <c r="I872" s="21"/>
      <c r="J872" s="21"/>
      <c r="K872" s="21"/>
      <c r="L872" s="21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2.75" customHeight="1">
      <c r="A873" s="18"/>
      <c r="B873" s="18"/>
      <c r="C873" s="18"/>
      <c r="D873" s="21"/>
      <c r="E873" s="20"/>
      <c r="F873" s="20"/>
      <c r="G873" s="18"/>
      <c r="H873" s="21"/>
      <c r="I873" s="21"/>
      <c r="J873" s="21"/>
      <c r="K873" s="21"/>
      <c r="L873" s="21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2.75" customHeight="1">
      <c r="A874" s="18"/>
      <c r="B874" s="18"/>
      <c r="C874" s="18"/>
      <c r="D874" s="21"/>
      <c r="E874" s="20"/>
      <c r="F874" s="20"/>
      <c r="G874" s="18"/>
      <c r="H874" s="21"/>
      <c r="I874" s="21"/>
      <c r="J874" s="21"/>
      <c r="K874" s="21"/>
      <c r="L874" s="21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2.75" customHeight="1">
      <c r="A875" s="18"/>
      <c r="B875" s="18"/>
      <c r="C875" s="18"/>
      <c r="D875" s="21"/>
      <c r="E875" s="20"/>
      <c r="F875" s="20"/>
      <c r="G875" s="18"/>
      <c r="H875" s="21"/>
      <c r="I875" s="21"/>
      <c r="J875" s="21"/>
      <c r="K875" s="21"/>
      <c r="L875" s="21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2.75" customHeight="1">
      <c r="A876" s="18"/>
      <c r="B876" s="18"/>
      <c r="C876" s="18"/>
      <c r="D876" s="21"/>
      <c r="E876" s="20"/>
      <c r="F876" s="20"/>
      <c r="G876" s="18"/>
      <c r="H876" s="21"/>
      <c r="I876" s="21"/>
      <c r="J876" s="21"/>
      <c r="K876" s="21"/>
      <c r="L876" s="21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2.75" customHeight="1">
      <c r="A877" s="18"/>
      <c r="B877" s="18"/>
      <c r="C877" s="18"/>
      <c r="D877" s="21"/>
      <c r="E877" s="20"/>
      <c r="F877" s="20"/>
      <c r="G877" s="18"/>
      <c r="H877" s="21"/>
      <c r="I877" s="21"/>
      <c r="J877" s="21"/>
      <c r="K877" s="21"/>
      <c r="L877" s="21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2.75" customHeight="1">
      <c r="A878" s="18"/>
      <c r="B878" s="18"/>
      <c r="C878" s="18"/>
      <c r="D878" s="21"/>
      <c r="E878" s="20"/>
      <c r="F878" s="20"/>
      <c r="G878" s="18"/>
      <c r="H878" s="21"/>
      <c r="I878" s="21"/>
      <c r="J878" s="21"/>
      <c r="K878" s="21"/>
      <c r="L878" s="21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2.75" customHeight="1">
      <c r="A879" s="18"/>
      <c r="B879" s="18"/>
      <c r="C879" s="18"/>
      <c r="D879" s="21"/>
      <c r="E879" s="20"/>
      <c r="F879" s="20"/>
      <c r="G879" s="18"/>
      <c r="H879" s="21"/>
      <c r="I879" s="21"/>
      <c r="J879" s="21"/>
      <c r="K879" s="21"/>
      <c r="L879" s="21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2.75" customHeight="1">
      <c r="A880" s="18"/>
      <c r="B880" s="18"/>
      <c r="C880" s="18"/>
      <c r="D880" s="21"/>
      <c r="E880" s="20"/>
      <c r="F880" s="20"/>
      <c r="G880" s="18"/>
      <c r="H880" s="21"/>
      <c r="I880" s="21"/>
      <c r="J880" s="21"/>
      <c r="K880" s="21"/>
      <c r="L880" s="21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2.75" customHeight="1">
      <c r="A881" s="18"/>
      <c r="B881" s="18"/>
      <c r="C881" s="18"/>
      <c r="D881" s="21"/>
      <c r="E881" s="20"/>
      <c r="F881" s="20"/>
      <c r="G881" s="18"/>
      <c r="H881" s="21"/>
      <c r="I881" s="21"/>
      <c r="J881" s="21"/>
      <c r="K881" s="21"/>
      <c r="L881" s="21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2.75" customHeight="1">
      <c r="A882" s="18"/>
      <c r="B882" s="18"/>
      <c r="C882" s="18"/>
      <c r="D882" s="21"/>
      <c r="E882" s="20"/>
      <c r="F882" s="20"/>
      <c r="G882" s="18"/>
      <c r="H882" s="21"/>
      <c r="I882" s="21"/>
      <c r="J882" s="21"/>
      <c r="K882" s="21"/>
      <c r="L882" s="21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2.75" customHeight="1">
      <c r="A883" s="18"/>
      <c r="B883" s="18"/>
      <c r="C883" s="18"/>
      <c r="D883" s="21"/>
      <c r="E883" s="20"/>
      <c r="F883" s="20"/>
      <c r="G883" s="18"/>
      <c r="H883" s="21"/>
      <c r="I883" s="21"/>
      <c r="J883" s="21"/>
      <c r="K883" s="21"/>
      <c r="L883" s="21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2.75" customHeight="1">
      <c r="A884" s="18"/>
      <c r="B884" s="18"/>
      <c r="C884" s="18"/>
      <c r="D884" s="21"/>
      <c r="E884" s="20"/>
      <c r="F884" s="20"/>
      <c r="G884" s="18"/>
      <c r="H884" s="21"/>
      <c r="I884" s="21"/>
      <c r="J884" s="21"/>
      <c r="K884" s="21"/>
      <c r="L884" s="21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2.75" customHeight="1">
      <c r="A885" s="18"/>
      <c r="B885" s="18"/>
      <c r="C885" s="18"/>
      <c r="D885" s="21"/>
      <c r="E885" s="20"/>
      <c r="F885" s="20"/>
      <c r="G885" s="18"/>
      <c r="H885" s="21"/>
      <c r="I885" s="21"/>
      <c r="J885" s="21"/>
      <c r="K885" s="21"/>
      <c r="L885" s="21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2.75" customHeight="1">
      <c r="A886" s="18"/>
      <c r="B886" s="18"/>
      <c r="C886" s="18"/>
      <c r="D886" s="21"/>
      <c r="E886" s="20"/>
      <c r="F886" s="20"/>
      <c r="G886" s="18"/>
      <c r="H886" s="21"/>
      <c r="I886" s="21"/>
      <c r="J886" s="21"/>
      <c r="K886" s="21"/>
      <c r="L886" s="21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2.75" customHeight="1">
      <c r="A887" s="18"/>
      <c r="B887" s="18"/>
      <c r="C887" s="18"/>
      <c r="D887" s="21"/>
      <c r="E887" s="20"/>
      <c r="F887" s="20"/>
      <c r="G887" s="18"/>
      <c r="H887" s="21"/>
      <c r="I887" s="21"/>
      <c r="J887" s="21"/>
      <c r="K887" s="21"/>
      <c r="L887" s="21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2.75" customHeight="1">
      <c r="A888" s="18"/>
      <c r="B888" s="18"/>
      <c r="C888" s="18"/>
      <c r="D888" s="21"/>
      <c r="E888" s="20"/>
      <c r="F888" s="20"/>
      <c r="G888" s="18"/>
      <c r="H888" s="21"/>
      <c r="I888" s="21"/>
      <c r="J888" s="21"/>
      <c r="K888" s="21"/>
      <c r="L888" s="21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2.75" customHeight="1">
      <c r="A889" s="18"/>
      <c r="B889" s="18"/>
      <c r="C889" s="18"/>
      <c r="D889" s="21"/>
      <c r="E889" s="20"/>
      <c r="F889" s="20"/>
      <c r="G889" s="18"/>
      <c r="H889" s="21"/>
      <c r="I889" s="21"/>
      <c r="J889" s="21"/>
      <c r="K889" s="21"/>
      <c r="L889" s="21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2.75" customHeight="1">
      <c r="A890" s="18"/>
      <c r="B890" s="18"/>
      <c r="C890" s="18"/>
      <c r="D890" s="21"/>
      <c r="E890" s="20"/>
      <c r="F890" s="20"/>
      <c r="G890" s="18"/>
      <c r="H890" s="21"/>
      <c r="I890" s="21"/>
      <c r="J890" s="21"/>
      <c r="K890" s="21"/>
      <c r="L890" s="21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2.75" customHeight="1">
      <c r="A891" s="18"/>
      <c r="B891" s="18"/>
      <c r="C891" s="18"/>
      <c r="D891" s="21"/>
      <c r="E891" s="20"/>
      <c r="F891" s="20"/>
      <c r="G891" s="18"/>
      <c r="H891" s="21"/>
      <c r="I891" s="21"/>
      <c r="J891" s="21"/>
      <c r="K891" s="21"/>
      <c r="L891" s="21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2.75" customHeight="1">
      <c r="A892" s="18"/>
      <c r="B892" s="18"/>
      <c r="C892" s="18"/>
      <c r="D892" s="21"/>
      <c r="E892" s="20"/>
      <c r="F892" s="20"/>
      <c r="G892" s="18"/>
      <c r="H892" s="21"/>
      <c r="I892" s="21"/>
      <c r="J892" s="21"/>
      <c r="K892" s="21"/>
      <c r="L892" s="21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2.75" customHeight="1">
      <c r="A893" s="18"/>
      <c r="B893" s="18"/>
      <c r="C893" s="18"/>
      <c r="D893" s="21"/>
      <c r="E893" s="20"/>
      <c r="F893" s="20"/>
      <c r="G893" s="18"/>
      <c r="H893" s="21"/>
      <c r="I893" s="21"/>
      <c r="J893" s="21"/>
      <c r="K893" s="21"/>
      <c r="L893" s="21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2.75" customHeight="1">
      <c r="A894" s="18"/>
      <c r="B894" s="18"/>
      <c r="C894" s="18"/>
      <c r="D894" s="21"/>
      <c r="E894" s="20"/>
      <c r="F894" s="20"/>
      <c r="G894" s="18"/>
      <c r="H894" s="21"/>
      <c r="I894" s="21"/>
      <c r="J894" s="21"/>
      <c r="K894" s="21"/>
      <c r="L894" s="21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2.75" customHeight="1">
      <c r="A895" s="18"/>
      <c r="B895" s="18"/>
      <c r="C895" s="18"/>
      <c r="D895" s="21"/>
      <c r="E895" s="20"/>
      <c r="F895" s="20"/>
      <c r="G895" s="18"/>
      <c r="H895" s="21"/>
      <c r="I895" s="21"/>
      <c r="J895" s="21"/>
      <c r="K895" s="21"/>
      <c r="L895" s="21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2.75" customHeight="1">
      <c r="A896" s="18"/>
      <c r="B896" s="18"/>
      <c r="C896" s="18"/>
      <c r="D896" s="21"/>
      <c r="E896" s="20"/>
      <c r="F896" s="20"/>
      <c r="G896" s="18"/>
      <c r="H896" s="21"/>
      <c r="I896" s="21"/>
      <c r="J896" s="21"/>
      <c r="K896" s="21"/>
      <c r="L896" s="21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2.75" customHeight="1">
      <c r="A897" s="18"/>
      <c r="B897" s="18"/>
      <c r="C897" s="18"/>
      <c r="D897" s="21"/>
      <c r="E897" s="20"/>
      <c r="F897" s="20"/>
      <c r="G897" s="18"/>
      <c r="H897" s="21"/>
      <c r="I897" s="21"/>
      <c r="J897" s="21"/>
      <c r="K897" s="21"/>
      <c r="L897" s="21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2.75" customHeight="1">
      <c r="A898" s="18"/>
      <c r="B898" s="18"/>
      <c r="C898" s="18"/>
      <c r="D898" s="21"/>
      <c r="E898" s="20"/>
      <c r="F898" s="20"/>
      <c r="G898" s="18"/>
      <c r="H898" s="21"/>
      <c r="I898" s="21"/>
      <c r="J898" s="21"/>
      <c r="K898" s="21"/>
      <c r="L898" s="21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2.75" customHeight="1">
      <c r="A899" s="18"/>
      <c r="B899" s="18"/>
      <c r="C899" s="18"/>
      <c r="D899" s="21"/>
      <c r="E899" s="20"/>
      <c r="F899" s="20"/>
      <c r="G899" s="18"/>
      <c r="H899" s="21"/>
      <c r="I899" s="21"/>
      <c r="J899" s="21"/>
      <c r="K899" s="21"/>
      <c r="L899" s="21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2.75" customHeight="1">
      <c r="A900" s="18"/>
      <c r="B900" s="18"/>
      <c r="C900" s="18"/>
      <c r="D900" s="21"/>
      <c r="E900" s="20"/>
      <c r="F900" s="20"/>
      <c r="G900" s="18"/>
      <c r="H900" s="21"/>
      <c r="I900" s="21"/>
      <c r="J900" s="21"/>
      <c r="K900" s="21"/>
      <c r="L900" s="21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2.75" customHeight="1">
      <c r="A901" s="18"/>
      <c r="B901" s="18"/>
      <c r="C901" s="18"/>
      <c r="D901" s="21"/>
      <c r="E901" s="20"/>
      <c r="F901" s="20"/>
      <c r="G901" s="18"/>
      <c r="H901" s="21"/>
      <c r="I901" s="21"/>
      <c r="J901" s="21"/>
      <c r="K901" s="21"/>
      <c r="L901" s="21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2.75" customHeight="1">
      <c r="A902" s="18"/>
      <c r="B902" s="18"/>
      <c r="C902" s="18"/>
      <c r="D902" s="21"/>
      <c r="E902" s="20"/>
      <c r="F902" s="20"/>
      <c r="G902" s="18"/>
      <c r="H902" s="21"/>
      <c r="I902" s="21"/>
      <c r="J902" s="21"/>
      <c r="K902" s="21"/>
      <c r="L902" s="21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2.75" customHeight="1">
      <c r="A903" s="18"/>
      <c r="B903" s="18"/>
      <c r="C903" s="18"/>
      <c r="D903" s="21"/>
      <c r="E903" s="20"/>
      <c r="F903" s="20"/>
      <c r="G903" s="18"/>
      <c r="H903" s="21"/>
      <c r="I903" s="21"/>
      <c r="J903" s="21"/>
      <c r="K903" s="21"/>
      <c r="L903" s="21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2.75" customHeight="1">
      <c r="A904" s="18"/>
      <c r="B904" s="18"/>
      <c r="C904" s="18"/>
      <c r="D904" s="21"/>
      <c r="E904" s="20"/>
      <c r="F904" s="20"/>
      <c r="G904" s="18"/>
      <c r="H904" s="21"/>
      <c r="I904" s="21"/>
      <c r="J904" s="21"/>
      <c r="K904" s="21"/>
      <c r="L904" s="21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2.75" customHeight="1">
      <c r="A905" s="18"/>
      <c r="B905" s="18"/>
      <c r="C905" s="18"/>
      <c r="D905" s="21"/>
      <c r="E905" s="20"/>
      <c r="F905" s="20"/>
      <c r="G905" s="18"/>
      <c r="H905" s="21"/>
      <c r="I905" s="21"/>
      <c r="J905" s="21"/>
      <c r="K905" s="21"/>
      <c r="L905" s="21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2.75" customHeight="1">
      <c r="A906" s="18"/>
      <c r="B906" s="18"/>
      <c r="C906" s="18"/>
      <c r="D906" s="21"/>
      <c r="E906" s="20"/>
      <c r="F906" s="20"/>
      <c r="G906" s="18"/>
      <c r="H906" s="21"/>
      <c r="I906" s="21"/>
      <c r="J906" s="21"/>
      <c r="K906" s="21"/>
      <c r="L906" s="21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2.75" customHeight="1">
      <c r="A907" s="18"/>
      <c r="B907" s="18"/>
      <c r="C907" s="18"/>
      <c r="D907" s="21"/>
      <c r="E907" s="20"/>
      <c r="F907" s="20"/>
      <c r="G907" s="18"/>
      <c r="H907" s="21"/>
      <c r="I907" s="21"/>
      <c r="J907" s="21"/>
      <c r="K907" s="21"/>
      <c r="L907" s="21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2.75" customHeight="1">
      <c r="A908" s="18"/>
      <c r="B908" s="18"/>
      <c r="C908" s="18"/>
      <c r="D908" s="21"/>
      <c r="E908" s="20"/>
      <c r="F908" s="20"/>
      <c r="G908" s="18"/>
      <c r="H908" s="21"/>
      <c r="I908" s="21"/>
      <c r="J908" s="21"/>
      <c r="K908" s="21"/>
      <c r="L908" s="21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2.75" customHeight="1">
      <c r="A909" s="18"/>
      <c r="B909" s="18"/>
      <c r="C909" s="18"/>
      <c r="D909" s="21"/>
      <c r="E909" s="20"/>
      <c r="F909" s="20"/>
      <c r="G909" s="18"/>
      <c r="H909" s="21"/>
      <c r="I909" s="21"/>
      <c r="J909" s="21"/>
      <c r="K909" s="21"/>
      <c r="L909" s="21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2.75" customHeight="1">
      <c r="A910" s="18"/>
      <c r="B910" s="18"/>
      <c r="C910" s="18"/>
      <c r="D910" s="21"/>
      <c r="E910" s="20"/>
      <c r="F910" s="20"/>
      <c r="G910" s="18"/>
      <c r="H910" s="21"/>
      <c r="I910" s="21"/>
      <c r="J910" s="21"/>
      <c r="K910" s="21"/>
      <c r="L910" s="21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2.75" customHeight="1">
      <c r="A911" s="18"/>
      <c r="B911" s="18"/>
      <c r="C911" s="18"/>
      <c r="D911" s="21"/>
      <c r="E911" s="20"/>
      <c r="F911" s="20"/>
      <c r="G911" s="18"/>
      <c r="H911" s="21"/>
      <c r="I911" s="21"/>
      <c r="J911" s="21"/>
      <c r="K911" s="21"/>
      <c r="L911" s="21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2.75" customHeight="1">
      <c r="A912" s="18"/>
      <c r="B912" s="18"/>
      <c r="C912" s="18"/>
      <c r="D912" s="21"/>
      <c r="E912" s="20"/>
      <c r="F912" s="20"/>
      <c r="G912" s="18"/>
      <c r="H912" s="21"/>
      <c r="I912" s="21"/>
      <c r="J912" s="21"/>
      <c r="K912" s="21"/>
      <c r="L912" s="21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2.75" customHeight="1">
      <c r="A913" s="18"/>
      <c r="B913" s="18"/>
      <c r="C913" s="18"/>
      <c r="D913" s="21"/>
      <c r="E913" s="20"/>
      <c r="F913" s="20"/>
      <c r="G913" s="18"/>
      <c r="H913" s="21"/>
      <c r="I913" s="21"/>
      <c r="J913" s="21"/>
      <c r="K913" s="21"/>
      <c r="L913" s="21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2.75" customHeight="1">
      <c r="A914" s="18"/>
      <c r="B914" s="18"/>
      <c r="C914" s="18"/>
      <c r="D914" s="21"/>
      <c r="E914" s="20"/>
      <c r="F914" s="20"/>
      <c r="G914" s="18"/>
      <c r="H914" s="21"/>
      <c r="I914" s="21"/>
      <c r="J914" s="21"/>
      <c r="K914" s="21"/>
      <c r="L914" s="21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2.75" customHeight="1">
      <c r="A915" s="18"/>
      <c r="B915" s="18"/>
      <c r="C915" s="18"/>
      <c r="D915" s="21"/>
      <c r="E915" s="20"/>
      <c r="F915" s="20"/>
      <c r="G915" s="18"/>
      <c r="H915" s="21"/>
      <c r="I915" s="21"/>
      <c r="J915" s="21"/>
      <c r="K915" s="21"/>
      <c r="L915" s="21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2.75" customHeight="1">
      <c r="A916" s="18"/>
      <c r="B916" s="18"/>
      <c r="C916" s="18"/>
      <c r="D916" s="21"/>
      <c r="E916" s="20"/>
      <c r="F916" s="20"/>
      <c r="G916" s="18"/>
      <c r="H916" s="21"/>
      <c r="I916" s="21"/>
      <c r="J916" s="21"/>
      <c r="K916" s="21"/>
      <c r="L916" s="21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2.75" customHeight="1">
      <c r="A917" s="18"/>
      <c r="B917" s="18"/>
      <c r="C917" s="18"/>
      <c r="D917" s="21"/>
      <c r="E917" s="20"/>
      <c r="F917" s="20"/>
      <c r="G917" s="18"/>
      <c r="H917" s="21"/>
      <c r="I917" s="21"/>
      <c r="J917" s="21"/>
      <c r="K917" s="21"/>
      <c r="L917" s="21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2.75" customHeight="1">
      <c r="A918" s="18"/>
      <c r="B918" s="18"/>
      <c r="C918" s="18"/>
      <c r="D918" s="21"/>
      <c r="E918" s="20"/>
      <c r="F918" s="20"/>
      <c r="G918" s="18"/>
      <c r="H918" s="21"/>
      <c r="I918" s="21"/>
      <c r="J918" s="21"/>
      <c r="K918" s="21"/>
      <c r="L918" s="21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2.75" customHeight="1">
      <c r="A919" s="18"/>
      <c r="B919" s="18"/>
      <c r="C919" s="18"/>
      <c r="D919" s="21"/>
      <c r="E919" s="20"/>
      <c r="F919" s="20"/>
      <c r="G919" s="18"/>
      <c r="H919" s="21"/>
      <c r="I919" s="21"/>
      <c r="J919" s="21"/>
      <c r="K919" s="21"/>
      <c r="L919" s="21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2.75" customHeight="1">
      <c r="A920" s="18"/>
      <c r="B920" s="18"/>
      <c r="C920" s="18"/>
      <c r="D920" s="21"/>
      <c r="E920" s="20"/>
      <c r="F920" s="20"/>
      <c r="G920" s="18"/>
      <c r="H920" s="21"/>
      <c r="I920" s="21"/>
      <c r="J920" s="21"/>
      <c r="K920" s="21"/>
      <c r="L920" s="21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2.75" customHeight="1">
      <c r="A921" s="18"/>
      <c r="B921" s="18"/>
      <c r="C921" s="18"/>
      <c r="D921" s="21"/>
      <c r="E921" s="20"/>
      <c r="F921" s="20"/>
      <c r="G921" s="18"/>
      <c r="H921" s="21"/>
      <c r="I921" s="21"/>
      <c r="J921" s="21"/>
      <c r="K921" s="21"/>
      <c r="L921" s="21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2.75" customHeight="1">
      <c r="A922" s="18"/>
      <c r="B922" s="18"/>
      <c r="C922" s="18"/>
      <c r="D922" s="21"/>
      <c r="E922" s="20"/>
      <c r="F922" s="20"/>
      <c r="G922" s="18"/>
      <c r="H922" s="21"/>
      <c r="I922" s="21"/>
      <c r="J922" s="21"/>
      <c r="K922" s="21"/>
      <c r="L922" s="21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2.75" customHeight="1">
      <c r="A923" s="18"/>
      <c r="B923" s="18"/>
      <c r="C923" s="18"/>
      <c r="D923" s="21"/>
      <c r="E923" s="20"/>
      <c r="F923" s="20"/>
      <c r="G923" s="18"/>
      <c r="H923" s="21"/>
      <c r="I923" s="21"/>
      <c r="J923" s="21"/>
      <c r="K923" s="21"/>
      <c r="L923" s="21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2.75" customHeight="1">
      <c r="A924" s="18"/>
      <c r="B924" s="18"/>
      <c r="C924" s="18"/>
      <c r="D924" s="21"/>
      <c r="E924" s="20"/>
      <c r="F924" s="20"/>
      <c r="G924" s="18"/>
      <c r="H924" s="21"/>
      <c r="I924" s="21"/>
      <c r="J924" s="21"/>
      <c r="K924" s="21"/>
      <c r="L924" s="21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2.75" customHeight="1">
      <c r="A925" s="18"/>
      <c r="B925" s="18"/>
      <c r="C925" s="18"/>
      <c r="D925" s="21"/>
      <c r="E925" s="20"/>
      <c r="F925" s="20"/>
      <c r="G925" s="18"/>
      <c r="H925" s="21"/>
      <c r="I925" s="21"/>
      <c r="J925" s="21"/>
      <c r="K925" s="21"/>
      <c r="L925" s="21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2.75" customHeight="1">
      <c r="A926" s="18"/>
      <c r="B926" s="18"/>
      <c r="C926" s="18"/>
      <c r="D926" s="21"/>
      <c r="E926" s="20"/>
      <c r="F926" s="20"/>
      <c r="G926" s="18"/>
      <c r="H926" s="21"/>
      <c r="I926" s="21"/>
      <c r="J926" s="21"/>
      <c r="K926" s="21"/>
      <c r="L926" s="21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2.75" customHeight="1">
      <c r="A927" s="18"/>
      <c r="B927" s="18"/>
      <c r="C927" s="18"/>
      <c r="D927" s="21"/>
      <c r="E927" s="20"/>
      <c r="F927" s="20"/>
      <c r="G927" s="18"/>
      <c r="H927" s="21"/>
      <c r="I927" s="21"/>
      <c r="J927" s="21"/>
      <c r="K927" s="21"/>
      <c r="L927" s="21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2.75" customHeight="1">
      <c r="A928" s="18"/>
      <c r="B928" s="18"/>
      <c r="C928" s="18"/>
      <c r="D928" s="21"/>
      <c r="E928" s="20"/>
      <c r="F928" s="20"/>
      <c r="G928" s="18"/>
      <c r="H928" s="21"/>
      <c r="I928" s="21"/>
      <c r="J928" s="21"/>
      <c r="K928" s="21"/>
      <c r="L928" s="21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2.75" customHeight="1">
      <c r="A929" s="18"/>
      <c r="B929" s="18"/>
      <c r="C929" s="18"/>
      <c r="D929" s="21"/>
      <c r="E929" s="20"/>
      <c r="F929" s="20"/>
      <c r="G929" s="18"/>
      <c r="H929" s="21"/>
      <c r="I929" s="21"/>
      <c r="J929" s="21"/>
      <c r="K929" s="21"/>
      <c r="L929" s="21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2.75" customHeight="1">
      <c r="A930" s="18"/>
      <c r="B930" s="18"/>
      <c r="C930" s="18"/>
      <c r="D930" s="21"/>
      <c r="E930" s="20"/>
      <c r="F930" s="20"/>
      <c r="G930" s="18"/>
      <c r="H930" s="21"/>
      <c r="I930" s="21"/>
      <c r="J930" s="21"/>
      <c r="K930" s="21"/>
      <c r="L930" s="21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2.75" customHeight="1">
      <c r="A931" s="18"/>
      <c r="B931" s="18"/>
      <c r="C931" s="18"/>
      <c r="D931" s="21"/>
      <c r="E931" s="20"/>
      <c r="F931" s="20"/>
      <c r="G931" s="18"/>
      <c r="H931" s="21"/>
      <c r="I931" s="21"/>
      <c r="J931" s="21"/>
      <c r="K931" s="21"/>
      <c r="L931" s="21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2.75" customHeight="1">
      <c r="A932" s="18"/>
      <c r="B932" s="18"/>
      <c r="C932" s="18"/>
      <c r="D932" s="21"/>
      <c r="E932" s="20"/>
      <c r="F932" s="20"/>
      <c r="G932" s="18"/>
      <c r="H932" s="21"/>
      <c r="I932" s="21"/>
      <c r="J932" s="21"/>
      <c r="K932" s="21"/>
      <c r="L932" s="21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2.75" customHeight="1">
      <c r="A933" s="18"/>
      <c r="B933" s="18"/>
      <c r="C933" s="18"/>
      <c r="D933" s="21"/>
      <c r="E933" s="20"/>
      <c r="F933" s="20"/>
      <c r="G933" s="18"/>
      <c r="H933" s="21"/>
      <c r="I933" s="21"/>
      <c r="J933" s="21"/>
      <c r="K933" s="21"/>
      <c r="L933" s="21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2.75" customHeight="1">
      <c r="A934" s="18"/>
      <c r="B934" s="18"/>
      <c r="C934" s="18"/>
      <c r="D934" s="21"/>
      <c r="E934" s="20"/>
      <c r="F934" s="20"/>
      <c r="G934" s="18"/>
      <c r="H934" s="21"/>
      <c r="I934" s="21"/>
      <c r="J934" s="21"/>
      <c r="K934" s="21"/>
      <c r="L934" s="21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2.75" customHeight="1">
      <c r="A935" s="18"/>
      <c r="B935" s="18"/>
      <c r="C935" s="18"/>
      <c r="D935" s="21"/>
      <c r="E935" s="20"/>
      <c r="F935" s="20"/>
      <c r="G935" s="18"/>
      <c r="H935" s="21"/>
      <c r="I935" s="21"/>
      <c r="J935" s="21"/>
      <c r="K935" s="21"/>
      <c r="L935" s="21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2.75" customHeight="1">
      <c r="A936" s="18"/>
      <c r="B936" s="18"/>
      <c r="C936" s="18"/>
      <c r="D936" s="21"/>
      <c r="E936" s="20"/>
      <c r="F936" s="20"/>
      <c r="G936" s="18"/>
      <c r="H936" s="21"/>
      <c r="I936" s="21"/>
      <c r="J936" s="21"/>
      <c r="K936" s="21"/>
      <c r="L936" s="21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2.75" customHeight="1">
      <c r="A937" s="18"/>
      <c r="B937" s="18"/>
      <c r="C937" s="18"/>
      <c r="D937" s="21"/>
      <c r="E937" s="20"/>
      <c r="F937" s="20"/>
      <c r="G937" s="18"/>
      <c r="H937" s="21"/>
      <c r="I937" s="21"/>
      <c r="J937" s="21"/>
      <c r="K937" s="21"/>
      <c r="L937" s="21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2.75" customHeight="1">
      <c r="A938" s="18"/>
      <c r="B938" s="18"/>
      <c r="C938" s="18"/>
      <c r="D938" s="21"/>
      <c r="E938" s="20"/>
      <c r="F938" s="20"/>
      <c r="G938" s="18"/>
      <c r="H938" s="21"/>
      <c r="I938" s="21"/>
      <c r="J938" s="21"/>
      <c r="K938" s="21"/>
      <c r="L938" s="21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2.75" customHeight="1">
      <c r="A939" s="18"/>
      <c r="B939" s="18"/>
      <c r="C939" s="18"/>
      <c r="D939" s="21"/>
      <c r="E939" s="20"/>
      <c r="F939" s="20"/>
      <c r="G939" s="18"/>
      <c r="H939" s="21"/>
      <c r="I939" s="21"/>
      <c r="J939" s="21"/>
      <c r="K939" s="21"/>
      <c r="L939" s="21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2.75" customHeight="1">
      <c r="A940" s="18"/>
      <c r="B940" s="18"/>
      <c r="C940" s="18"/>
      <c r="D940" s="21"/>
      <c r="E940" s="20"/>
      <c r="F940" s="20"/>
      <c r="G940" s="18"/>
      <c r="H940" s="21"/>
      <c r="I940" s="21"/>
      <c r="J940" s="21"/>
      <c r="K940" s="21"/>
      <c r="L940" s="21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2.75" customHeight="1">
      <c r="A941" s="18"/>
      <c r="B941" s="18"/>
      <c r="C941" s="18"/>
      <c r="D941" s="21"/>
      <c r="E941" s="20"/>
      <c r="F941" s="20"/>
      <c r="G941" s="18"/>
      <c r="H941" s="21"/>
      <c r="I941" s="21"/>
      <c r="J941" s="21"/>
      <c r="K941" s="21"/>
      <c r="L941" s="21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2.75" customHeight="1">
      <c r="A942" s="18"/>
      <c r="B942" s="18"/>
      <c r="C942" s="18"/>
      <c r="D942" s="21"/>
      <c r="E942" s="20"/>
      <c r="F942" s="20"/>
      <c r="G942" s="18"/>
      <c r="H942" s="21"/>
      <c r="I942" s="21"/>
      <c r="J942" s="21"/>
      <c r="K942" s="21"/>
      <c r="L942" s="21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2.75" customHeight="1">
      <c r="A943" s="18"/>
      <c r="B943" s="18"/>
      <c r="C943" s="18"/>
      <c r="D943" s="21"/>
      <c r="E943" s="20"/>
      <c r="F943" s="20"/>
      <c r="G943" s="18"/>
      <c r="H943" s="21"/>
      <c r="I943" s="21"/>
      <c r="J943" s="21"/>
      <c r="K943" s="21"/>
      <c r="L943" s="21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2.75" customHeight="1">
      <c r="A944" s="18"/>
      <c r="B944" s="18"/>
      <c r="C944" s="18"/>
      <c r="D944" s="21"/>
      <c r="E944" s="20"/>
      <c r="F944" s="20"/>
      <c r="G944" s="18"/>
      <c r="H944" s="21"/>
      <c r="I944" s="21"/>
      <c r="J944" s="21"/>
      <c r="K944" s="21"/>
      <c r="L944" s="21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2.75" customHeight="1">
      <c r="A945" s="18"/>
      <c r="B945" s="18"/>
      <c r="C945" s="18"/>
      <c r="D945" s="21"/>
      <c r="E945" s="20"/>
      <c r="F945" s="20"/>
      <c r="G945" s="18"/>
      <c r="H945" s="21"/>
      <c r="I945" s="21"/>
      <c r="J945" s="21"/>
      <c r="K945" s="21"/>
      <c r="L945" s="21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2.75" customHeight="1">
      <c r="A946" s="18"/>
      <c r="B946" s="18"/>
      <c r="C946" s="18"/>
      <c r="D946" s="21"/>
      <c r="E946" s="20"/>
      <c r="F946" s="20"/>
      <c r="G946" s="18"/>
      <c r="H946" s="21"/>
      <c r="I946" s="21"/>
      <c r="J946" s="21"/>
      <c r="K946" s="21"/>
      <c r="L946" s="21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2.75" customHeight="1">
      <c r="A947" s="18"/>
      <c r="B947" s="18"/>
      <c r="C947" s="18"/>
      <c r="D947" s="21"/>
      <c r="E947" s="20"/>
      <c r="F947" s="20"/>
      <c r="G947" s="18"/>
      <c r="H947" s="21"/>
      <c r="I947" s="21"/>
      <c r="J947" s="21"/>
      <c r="K947" s="21"/>
      <c r="L947" s="21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2.75" customHeight="1">
      <c r="A948" s="18"/>
      <c r="B948" s="18"/>
      <c r="C948" s="18"/>
      <c r="D948" s="21"/>
      <c r="E948" s="20"/>
      <c r="F948" s="20"/>
      <c r="G948" s="18"/>
      <c r="H948" s="21"/>
      <c r="I948" s="21"/>
      <c r="J948" s="21"/>
      <c r="K948" s="21"/>
      <c r="L948" s="21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2.75" customHeight="1">
      <c r="A949" s="18"/>
      <c r="B949" s="18"/>
      <c r="C949" s="18"/>
      <c r="D949" s="21"/>
      <c r="E949" s="20"/>
      <c r="F949" s="20"/>
      <c r="G949" s="18"/>
      <c r="H949" s="21"/>
      <c r="I949" s="21"/>
      <c r="J949" s="21"/>
      <c r="K949" s="21"/>
      <c r="L949" s="21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2.75" customHeight="1">
      <c r="A950" s="18"/>
      <c r="B950" s="18"/>
      <c r="C950" s="18"/>
      <c r="D950" s="21"/>
      <c r="E950" s="20"/>
      <c r="F950" s="20"/>
      <c r="G950" s="18"/>
      <c r="H950" s="21"/>
      <c r="I950" s="21"/>
      <c r="J950" s="21"/>
      <c r="K950" s="21"/>
      <c r="L950" s="21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2.75" customHeight="1">
      <c r="A951" s="18"/>
      <c r="B951" s="18"/>
      <c r="C951" s="18"/>
      <c r="D951" s="21"/>
      <c r="E951" s="20"/>
      <c r="F951" s="20"/>
      <c r="G951" s="18"/>
      <c r="H951" s="21"/>
      <c r="I951" s="21"/>
      <c r="J951" s="21"/>
      <c r="K951" s="21"/>
      <c r="L951" s="21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2.75" customHeight="1">
      <c r="A952" s="18"/>
      <c r="B952" s="18"/>
      <c r="C952" s="18"/>
      <c r="D952" s="21"/>
      <c r="E952" s="20"/>
      <c r="F952" s="20"/>
      <c r="G952" s="18"/>
      <c r="H952" s="21"/>
      <c r="I952" s="21"/>
      <c r="J952" s="21"/>
      <c r="K952" s="21"/>
      <c r="L952" s="21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2.75" customHeight="1">
      <c r="A953" s="18"/>
      <c r="B953" s="18"/>
      <c r="C953" s="18"/>
      <c r="D953" s="21"/>
      <c r="E953" s="20"/>
      <c r="F953" s="20"/>
      <c r="G953" s="18"/>
      <c r="H953" s="21"/>
      <c r="I953" s="21"/>
      <c r="J953" s="21"/>
      <c r="K953" s="21"/>
      <c r="L953" s="21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2.75" customHeight="1">
      <c r="A954" s="18"/>
      <c r="B954" s="18"/>
      <c r="C954" s="18"/>
      <c r="D954" s="21"/>
      <c r="E954" s="20"/>
      <c r="F954" s="20"/>
      <c r="G954" s="18"/>
      <c r="H954" s="21"/>
      <c r="I954" s="21"/>
      <c r="J954" s="21"/>
      <c r="K954" s="21"/>
      <c r="L954" s="21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2.75" customHeight="1">
      <c r="A955" s="18"/>
      <c r="B955" s="18"/>
      <c r="C955" s="18"/>
      <c r="D955" s="21"/>
      <c r="E955" s="20"/>
      <c r="F955" s="20"/>
      <c r="G955" s="18"/>
      <c r="H955" s="21"/>
      <c r="I955" s="21"/>
      <c r="J955" s="21"/>
      <c r="K955" s="21"/>
      <c r="L955" s="21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2.75" customHeight="1">
      <c r="A956" s="18"/>
      <c r="B956" s="18"/>
      <c r="C956" s="18"/>
      <c r="D956" s="21"/>
      <c r="E956" s="20"/>
      <c r="F956" s="20"/>
      <c r="G956" s="18"/>
      <c r="H956" s="21"/>
      <c r="I956" s="21"/>
      <c r="J956" s="21"/>
      <c r="K956" s="21"/>
      <c r="L956" s="21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2.75" customHeight="1">
      <c r="A957" s="18"/>
      <c r="B957" s="18"/>
      <c r="C957" s="18"/>
      <c r="D957" s="21"/>
      <c r="E957" s="20"/>
      <c r="F957" s="20"/>
      <c r="G957" s="18"/>
      <c r="H957" s="21"/>
      <c r="I957" s="21"/>
      <c r="J957" s="21"/>
      <c r="K957" s="21"/>
      <c r="L957" s="21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2.75" customHeight="1">
      <c r="A958" s="18"/>
      <c r="B958" s="18"/>
      <c r="C958" s="18"/>
      <c r="D958" s="21"/>
      <c r="E958" s="20"/>
      <c r="F958" s="20"/>
      <c r="G958" s="18"/>
      <c r="H958" s="21"/>
      <c r="I958" s="21"/>
      <c r="J958" s="21"/>
      <c r="K958" s="21"/>
      <c r="L958" s="21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2.75" customHeight="1">
      <c r="A959" s="18"/>
      <c r="B959" s="18"/>
      <c r="C959" s="18"/>
      <c r="D959" s="21"/>
      <c r="E959" s="20"/>
      <c r="F959" s="20"/>
      <c r="G959" s="18"/>
      <c r="H959" s="21"/>
      <c r="I959" s="21"/>
      <c r="J959" s="21"/>
      <c r="K959" s="21"/>
      <c r="L959" s="21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2.75" customHeight="1">
      <c r="A960" s="18"/>
      <c r="B960" s="18"/>
      <c r="C960" s="18"/>
      <c r="D960" s="21"/>
      <c r="E960" s="20"/>
      <c r="F960" s="20"/>
      <c r="G960" s="18"/>
      <c r="H960" s="21"/>
      <c r="I960" s="21"/>
      <c r="J960" s="21"/>
      <c r="K960" s="21"/>
      <c r="L960" s="21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2.75" customHeight="1">
      <c r="A961" s="18"/>
      <c r="B961" s="18"/>
      <c r="C961" s="18"/>
      <c r="D961" s="21"/>
      <c r="E961" s="20"/>
      <c r="F961" s="20"/>
      <c r="G961" s="18"/>
      <c r="H961" s="21"/>
      <c r="I961" s="21"/>
      <c r="J961" s="21"/>
      <c r="K961" s="21"/>
      <c r="L961" s="21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2.75" customHeight="1">
      <c r="A962" s="18"/>
      <c r="B962" s="18"/>
      <c r="C962" s="18"/>
      <c r="D962" s="21"/>
      <c r="E962" s="20"/>
      <c r="F962" s="20"/>
      <c r="G962" s="18"/>
      <c r="H962" s="21"/>
      <c r="I962" s="21"/>
      <c r="J962" s="21"/>
      <c r="K962" s="21"/>
      <c r="L962" s="21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2.75" customHeight="1">
      <c r="A963" s="18"/>
      <c r="B963" s="18"/>
      <c r="C963" s="18"/>
      <c r="D963" s="21"/>
      <c r="E963" s="20"/>
      <c r="F963" s="20"/>
      <c r="G963" s="18"/>
      <c r="H963" s="21"/>
      <c r="I963" s="21"/>
      <c r="J963" s="21"/>
      <c r="K963" s="21"/>
      <c r="L963" s="21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2.75" customHeight="1">
      <c r="A964" s="18"/>
      <c r="B964" s="18"/>
      <c r="C964" s="18"/>
      <c r="D964" s="21"/>
      <c r="E964" s="20"/>
      <c r="F964" s="20"/>
      <c r="G964" s="18"/>
      <c r="H964" s="21"/>
      <c r="I964" s="21"/>
      <c r="J964" s="21"/>
      <c r="K964" s="21"/>
      <c r="L964" s="21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2.75" customHeight="1">
      <c r="A965" s="18"/>
      <c r="B965" s="18"/>
      <c r="C965" s="18"/>
      <c r="D965" s="21"/>
      <c r="E965" s="20"/>
      <c r="F965" s="20"/>
      <c r="G965" s="18"/>
      <c r="H965" s="21"/>
      <c r="I965" s="21"/>
      <c r="J965" s="21"/>
      <c r="K965" s="21"/>
      <c r="L965" s="21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2.75" customHeight="1">
      <c r="A966" s="18"/>
      <c r="B966" s="18"/>
      <c r="C966" s="18"/>
      <c r="D966" s="21"/>
      <c r="E966" s="20"/>
      <c r="F966" s="20"/>
      <c r="G966" s="18"/>
      <c r="H966" s="21"/>
      <c r="I966" s="21"/>
      <c r="J966" s="21"/>
      <c r="K966" s="21"/>
      <c r="L966" s="21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2.75" customHeight="1">
      <c r="A967" s="18"/>
      <c r="B967" s="18"/>
      <c r="C967" s="18"/>
      <c r="D967" s="21"/>
      <c r="E967" s="20"/>
      <c r="F967" s="20"/>
      <c r="G967" s="18"/>
      <c r="H967" s="21"/>
      <c r="I967" s="21"/>
      <c r="J967" s="21"/>
      <c r="K967" s="21"/>
      <c r="L967" s="21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2.75" customHeight="1">
      <c r="A968" s="18"/>
      <c r="B968" s="18"/>
      <c r="C968" s="18"/>
      <c r="D968" s="21"/>
      <c r="E968" s="20"/>
      <c r="F968" s="20"/>
      <c r="G968" s="18"/>
      <c r="H968" s="21"/>
      <c r="I968" s="21"/>
      <c r="J968" s="21"/>
      <c r="K968" s="21"/>
      <c r="L968" s="21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2.75" customHeight="1">
      <c r="A969" s="18"/>
      <c r="B969" s="18"/>
      <c r="C969" s="18"/>
      <c r="D969" s="21"/>
      <c r="E969" s="20"/>
      <c r="F969" s="20"/>
      <c r="G969" s="18"/>
      <c r="H969" s="21"/>
      <c r="I969" s="21"/>
      <c r="J969" s="21"/>
      <c r="K969" s="21"/>
      <c r="L969" s="21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2.75" customHeight="1">
      <c r="A970" s="18"/>
      <c r="B970" s="18"/>
      <c r="C970" s="18"/>
      <c r="D970" s="21"/>
      <c r="E970" s="20"/>
      <c r="F970" s="20"/>
      <c r="G970" s="18"/>
      <c r="H970" s="21"/>
      <c r="I970" s="21"/>
      <c r="J970" s="21"/>
      <c r="K970" s="21"/>
      <c r="L970" s="21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2.75" customHeight="1">
      <c r="A971" s="18"/>
      <c r="B971" s="18"/>
      <c r="C971" s="18"/>
      <c r="D971" s="21"/>
      <c r="E971" s="20"/>
      <c r="F971" s="20"/>
      <c r="G971" s="18"/>
      <c r="H971" s="21"/>
      <c r="I971" s="21"/>
      <c r="J971" s="21"/>
      <c r="K971" s="21"/>
      <c r="L971" s="21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2.75" customHeight="1">
      <c r="A972" s="18"/>
      <c r="B972" s="18"/>
      <c r="C972" s="18"/>
      <c r="D972" s="21"/>
      <c r="E972" s="20"/>
      <c r="F972" s="20"/>
      <c r="G972" s="18"/>
      <c r="H972" s="21"/>
      <c r="I972" s="21"/>
      <c r="J972" s="21"/>
      <c r="K972" s="21"/>
      <c r="L972" s="21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2.75" customHeight="1">
      <c r="A973" s="18"/>
      <c r="B973" s="18"/>
      <c r="C973" s="18"/>
      <c r="D973" s="21"/>
      <c r="E973" s="20"/>
      <c r="F973" s="20"/>
      <c r="G973" s="18"/>
      <c r="H973" s="21"/>
      <c r="I973" s="21"/>
      <c r="J973" s="21"/>
      <c r="K973" s="21"/>
      <c r="L973" s="21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2.75" customHeight="1">
      <c r="A974" s="18"/>
      <c r="B974" s="18"/>
      <c r="C974" s="18"/>
      <c r="D974" s="21"/>
      <c r="E974" s="20"/>
      <c r="F974" s="20"/>
      <c r="G974" s="18"/>
      <c r="H974" s="21"/>
      <c r="I974" s="21"/>
      <c r="J974" s="21"/>
      <c r="K974" s="21"/>
      <c r="L974" s="21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2.75" customHeight="1">
      <c r="A975" s="18"/>
      <c r="B975" s="18"/>
      <c r="C975" s="18"/>
      <c r="D975" s="21"/>
      <c r="E975" s="20"/>
      <c r="F975" s="20"/>
      <c r="G975" s="18"/>
      <c r="H975" s="21"/>
      <c r="I975" s="21"/>
      <c r="J975" s="21"/>
      <c r="K975" s="21"/>
      <c r="L975" s="21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2.75" customHeight="1">
      <c r="A976" s="18"/>
      <c r="B976" s="18"/>
      <c r="C976" s="18"/>
      <c r="D976" s="21"/>
      <c r="E976" s="20"/>
      <c r="F976" s="20"/>
      <c r="G976" s="18"/>
      <c r="H976" s="21"/>
      <c r="I976" s="21"/>
      <c r="J976" s="21"/>
      <c r="K976" s="21"/>
      <c r="L976" s="21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2.75" customHeight="1">
      <c r="A977" s="18"/>
      <c r="B977" s="18"/>
      <c r="C977" s="18"/>
      <c r="D977" s="21"/>
      <c r="E977" s="20"/>
      <c r="F977" s="20"/>
      <c r="G977" s="18"/>
      <c r="H977" s="21"/>
      <c r="I977" s="21"/>
      <c r="J977" s="21"/>
      <c r="K977" s="21"/>
      <c r="L977" s="21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2.75" customHeight="1">
      <c r="A978" s="18"/>
      <c r="B978" s="18"/>
      <c r="C978" s="18"/>
      <c r="D978" s="21"/>
      <c r="E978" s="20"/>
      <c r="F978" s="20"/>
      <c r="G978" s="18"/>
      <c r="H978" s="21"/>
      <c r="I978" s="21"/>
      <c r="J978" s="21"/>
      <c r="K978" s="21"/>
      <c r="L978" s="21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2.75" customHeight="1">
      <c r="A979" s="18"/>
      <c r="B979" s="18"/>
      <c r="C979" s="18"/>
      <c r="D979" s="21"/>
      <c r="E979" s="20"/>
      <c r="F979" s="20"/>
      <c r="G979" s="18"/>
      <c r="H979" s="21"/>
      <c r="I979" s="21"/>
      <c r="J979" s="21"/>
      <c r="K979" s="21"/>
      <c r="L979" s="21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2.75" customHeight="1">
      <c r="A980" s="18"/>
      <c r="B980" s="18"/>
      <c r="C980" s="18"/>
      <c r="D980" s="21"/>
      <c r="E980" s="20"/>
      <c r="F980" s="20"/>
      <c r="G980" s="18"/>
      <c r="H980" s="21"/>
      <c r="I980" s="21"/>
      <c r="J980" s="21"/>
      <c r="K980" s="21"/>
      <c r="L980" s="21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2.75" customHeight="1">
      <c r="A981" s="18"/>
      <c r="B981" s="18"/>
      <c r="C981" s="18"/>
      <c r="D981" s="21"/>
      <c r="E981" s="20"/>
      <c r="F981" s="20"/>
      <c r="G981" s="18"/>
      <c r="H981" s="21"/>
      <c r="I981" s="21"/>
      <c r="J981" s="21"/>
      <c r="K981" s="21"/>
      <c r="L981" s="21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2.75" customHeight="1">
      <c r="A982" s="18"/>
      <c r="B982" s="18"/>
      <c r="C982" s="18"/>
      <c r="D982" s="21"/>
      <c r="E982" s="20"/>
      <c r="F982" s="20"/>
      <c r="G982" s="18"/>
      <c r="H982" s="21"/>
      <c r="I982" s="21"/>
      <c r="J982" s="21"/>
      <c r="K982" s="21"/>
      <c r="L982" s="21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2.75" customHeight="1">
      <c r="A983" s="18"/>
      <c r="B983" s="18"/>
      <c r="C983" s="18"/>
      <c r="D983" s="21"/>
      <c r="E983" s="20"/>
      <c r="F983" s="20"/>
      <c r="G983" s="18"/>
      <c r="H983" s="21"/>
      <c r="I983" s="21"/>
      <c r="J983" s="21"/>
      <c r="K983" s="21"/>
      <c r="L983" s="21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2.75" customHeight="1">
      <c r="A984" s="18"/>
      <c r="B984" s="18"/>
      <c r="C984" s="18"/>
      <c r="D984" s="21"/>
      <c r="E984" s="20"/>
      <c r="F984" s="20"/>
      <c r="G984" s="18"/>
      <c r="H984" s="21"/>
      <c r="I984" s="21"/>
      <c r="J984" s="21"/>
      <c r="K984" s="21"/>
      <c r="L984" s="21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2.75" customHeight="1">
      <c r="A985" s="18"/>
      <c r="B985" s="18"/>
      <c r="C985" s="18"/>
      <c r="D985" s="21"/>
      <c r="E985" s="20"/>
      <c r="F985" s="20"/>
      <c r="G985" s="18"/>
      <c r="H985" s="21"/>
      <c r="I985" s="21"/>
      <c r="J985" s="21"/>
      <c r="K985" s="21"/>
      <c r="L985" s="21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2.75" customHeight="1">
      <c r="A986" s="18"/>
      <c r="B986" s="18"/>
      <c r="C986" s="18"/>
      <c r="D986" s="21"/>
      <c r="E986" s="20"/>
      <c r="F986" s="20"/>
      <c r="G986" s="18"/>
      <c r="H986" s="21"/>
      <c r="I986" s="21"/>
      <c r="J986" s="21"/>
      <c r="K986" s="21"/>
      <c r="L986" s="21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2.75" customHeight="1">
      <c r="A987" s="18"/>
      <c r="B987" s="18"/>
      <c r="C987" s="18"/>
      <c r="D987" s="21"/>
      <c r="E987" s="20"/>
      <c r="F987" s="20"/>
      <c r="G987" s="18"/>
      <c r="H987" s="21"/>
      <c r="I987" s="21"/>
      <c r="J987" s="21"/>
      <c r="K987" s="21"/>
      <c r="L987" s="21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2.75" customHeight="1">
      <c r="A988" s="18"/>
      <c r="B988" s="18"/>
      <c r="C988" s="18"/>
      <c r="D988" s="21"/>
      <c r="E988" s="20"/>
      <c r="F988" s="20"/>
      <c r="G988" s="18"/>
      <c r="H988" s="21"/>
      <c r="I988" s="21"/>
      <c r="J988" s="21"/>
      <c r="K988" s="21"/>
      <c r="L988" s="21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2.75" customHeight="1">
      <c r="A989" s="18"/>
      <c r="B989" s="18"/>
      <c r="C989" s="18"/>
      <c r="D989" s="21"/>
      <c r="E989" s="20"/>
      <c r="F989" s="20"/>
      <c r="G989" s="18"/>
      <c r="H989" s="21"/>
      <c r="I989" s="21"/>
      <c r="J989" s="21"/>
      <c r="K989" s="21"/>
      <c r="L989" s="21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2.75" customHeight="1">
      <c r="A990" s="18"/>
      <c r="B990" s="18"/>
      <c r="C990" s="18"/>
      <c r="D990" s="21"/>
      <c r="E990" s="20"/>
      <c r="F990" s="20"/>
      <c r="G990" s="18"/>
      <c r="H990" s="21"/>
      <c r="I990" s="21"/>
      <c r="J990" s="21"/>
      <c r="K990" s="21"/>
      <c r="L990" s="21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2.75" customHeight="1">
      <c r="A991" s="18"/>
      <c r="B991" s="18"/>
      <c r="C991" s="18"/>
      <c r="D991" s="21"/>
      <c r="E991" s="20"/>
      <c r="F991" s="20"/>
      <c r="G991" s="18"/>
      <c r="H991" s="21"/>
      <c r="I991" s="21"/>
      <c r="J991" s="21"/>
      <c r="K991" s="21"/>
      <c r="L991" s="21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2.75" customHeight="1">
      <c r="A992" s="18"/>
      <c r="B992" s="18"/>
      <c r="C992" s="18"/>
      <c r="D992" s="21"/>
      <c r="E992" s="20"/>
      <c r="F992" s="20"/>
      <c r="G992" s="18"/>
      <c r="H992" s="21"/>
      <c r="I992" s="21"/>
      <c r="J992" s="21"/>
      <c r="K992" s="21"/>
      <c r="L992" s="21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2.75" customHeight="1">
      <c r="A993" s="18"/>
      <c r="B993" s="18"/>
      <c r="C993" s="18"/>
      <c r="D993" s="21"/>
      <c r="E993" s="20"/>
      <c r="F993" s="20"/>
      <c r="G993" s="18"/>
      <c r="H993" s="21"/>
      <c r="I993" s="21"/>
      <c r="J993" s="21"/>
      <c r="K993" s="21"/>
      <c r="L993" s="21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2.75" customHeight="1">
      <c r="A994" s="18"/>
      <c r="B994" s="18"/>
      <c r="C994" s="18"/>
      <c r="D994" s="21"/>
      <c r="E994" s="20"/>
      <c r="F994" s="20"/>
      <c r="G994" s="18"/>
      <c r="H994" s="21"/>
      <c r="I994" s="21"/>
      <c r="J994" s="21"/>
      <c r="K994" s="21"/>
      <c r="L994" s="21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2.75" customHeight="1">
      <c r="A995" s="18"/>
      <c r="B995" s="18"/>
      <c r="C995" s="18"/>
      <c r="D995" s="21"/>
      <c r="E995" s="20"/>
      <c r="F995" s="20"/>
      <c r="G995" s="18"/>
      <c r="H995" s="21"/>
      <c r="I995" s="21"/>
      <c r="J995" s="21"/>
      <c r="K995" s="21"/>
      <c r="L995" s="21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2.75" customHeight="1">
      <c r="A996" s="18"/>
      <c r="B996" s="18"/>
      <c r="C996" s="18"/>
      <c r="D996" s="21"/>
      <c r="E996" s="20"/>
      <c r="F996" s="20"/>
      <c r="G996" s="18"/>
      <c r="H996" s="21"/>
      <c r="I996" s="21"/>
      <c r="J996" s="21"/>
      <c r="K996" s="21"/>
      <c r="L996" s="21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2.75" customHeight="1">
      <c r="A997" s="18"/>
      <c r="B997" s="18"/>
      <c r="C997" s="18"/>
      <c r="D997" s="21"/>
      <c r="E997" s="20"/>
      <c r="F997" s="20"/>
      <c r="G997" s="18"/>
      <c r="H997" s="21"/>
      <c r="I997" s="21"/>
      <c r="J997" s="21"/>
      <c r="K997" s="21"/>
      <c r="L997" s="21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2.75" customHeight="1">
      <c r="A998" s="18"/>
      <c r="B998" s="18"/>
      <c r="C998" s="18"/>
      <c r="D998" s="21"/>
      <c r="E998" s="20"/>
      <c r="F998" s="20"/>
      <c r="G998" s="18"/>
      <c r="H998" s="21"/>
      <c r="I998" s="21"/>
      <c r="J998" s="21"/>
      <c r="K998" s="21"/>
      <c r="L998" s="21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2.75" customHeight="1">
      <c r="A999" s="18"/>
      <c r="B999" s="18"/>
      <c r="C999" s="18"/>
      <c r="D999" s="21"/>
      <c r="E999" s="20"/>
      <c r="F999" s="20"/>
      <c r="G999" s="18"/>
      <c r="H999" s="21"/>
      <c r="I999" s="21"/>
      <c r="J999" s="21"/>
      <c r="K999" s="21"/>
      <c r="L999" s="21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2.75" customHeight="1">
      <c r="A1000" s="18"/>
      <c r="B1000" s="18"/>
      <c r="C1000" s="18"/>
      <c r="D1000" s="21"/>
      <c r="E1000" s="20"/>
      <c r="F1000" s="20"/>
      <c r="G1000" s="18"/>
      <c r="H1000" s="21"/>
      <c r="I1000" s="21"/>
      <c r="J1000" s="21"/>
      <c r="K1000" s="21"/>
      <c r="L1000" s="21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2">
    <mergeCell ref="B1:D1"/>
    <mergeCell ref="K2:S2"/>
  </mergeCells>
  <hyperlinks>
    <hyperlink r:id="rId1" ref="G4"/>
  </hyperlinks>
  <printOptions horizontalCentered="1"/>
  <pageMargins bottom="1.12" footer="0.0" header="0.0" left="0.5" right="0.25" top="1.0"/>
  <pageSetup paperSize="9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0.29"/>
    <col customWidth="1" min="2" max="2" width="8.71"/>
    <col customWidth="1" min="3" max="3" width="21.14"/>
    <col customWidth="1" min="4" max="14" width="8.71"/>
    <col customWidth="1" min="15" max="15" width="13.43"/>
    <col customWidth="1" min="16" max="28" width="8.71"/>
    <col customWidth="1" min="29" max="29" width="11.71"/>
    <col customWidth="1" min="30" max="30" width="14.0"/>
    <col customWidth="1" min="31" max="31" width="11.14"/>
  </cols>
  <sheetData>
    <row r="1" ht="13.5" customHeight="1">
      <c r="A1" s="209" t="s">
        <v>280</v>
      </c>
      <c r="B1" s="210"/>
      <c r="C1" s="211"/>
      <c r="D1" s="210"/>
      <c r="E1" s="210"/>
      <c r="F1" s="212" t="s">
        <v>281</v>
      </c>
      <c r="G1" s="213"/>
      <c r="H1" s="213"/>
      <c r="I1" s="210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04"/>
      <c r="Z1" s="204"/>
      <c r="AA1" s="211"/>
      <c r="AB1" s="210"/>
      <c r="AC1" s="211"/>
      <c r="AD1" s="211"/>
      <c r="AE1" s="8"/>
    </row>
    <row r="2" ht="13.5" customHeight="1">
      <c r="A2" s="211"/>
      <c r="B2" s="210"/>
      <c r="C2" s="211"/>
      <c r="D2" s="210"/>
      <c r="E2" s="210"/>
      <c r="F2" s="210"/>
      <c r="G2" s="210"/>
      <c r="H2" s="210"/>
      <c r="I2" s="210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0"/>
      <c r="AC2" s="211"/>
      <c r="AD2" s="211"/>
      <c r="AE2" s="8"/>
    </row>
    <row r="3" ht="13.5" customHeight="1">
      <c r="A3" s="214" t="s">
        <v>282</v>
      </c>
      <c r="B3" s="215"/>
      <c r="C3" s="216"/>
      <c r="D3" s="215"/>
      <c r="E3" s="215"/>
      <c r="F3" s="215"/>
      <c r="G3" s="215"/>
      <c r="H3" s="215"/>
      <c r="I3" s="215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5"/>
      <c r="AC3" s="216"/>
      <c r="AD3" s="216"/>
      <c r="AE3" s="8"/>
    </row>
    <row r="4" ht="13.5" customHeight="1">
      <c r="A4" s="217" t="s">
        <v>283</v>
      </c>
      <c r="B4" s="218" t="s">
        <v>284</v>
      </c>
      <c r="C4" s="219" t="s">
        <v>285</v>
      </c>
      <c r="D4" s="220" t="s">
        <v>286</v>
      </c>
      <c r="E4" s="220" t="s">
        <v>287</v>
      </c>
      <c r="F4" s="220" t="s">
        <v>288</v>
      </c>
      <c r="G4" s="220" t="s">
        <v>289</v>
      </c>
      <c r="H4" s="220" t="s">
        <v>290</v>
      </c>
      <c r="I4" s="220" t="s">
        <v>291</v>
      </c>
      <c r="J4" s="221" t="s">
        <v>292</v>
      </c>
      <c r="K4" s="216"/>
      <c r="L4" s="222"/>
      <c r="M4" s="219" t="s">
        <v>293</v>
      </c>
      <c r="N4" s="219" t="s">
        <v>294</v>
      </c>
      <c r="O4" s="220" t="s">
        <v>285</v>
      </c>
      <c r="P4" s="220" t="s">
        <v>295</v>
      </c>
      <c r="Q4" s="220" t="s">
        <v>296</v>
      </c>
      <c r="R4" s="220" t="s">
        <v>297</v>
      </c>
      <c r="S4" s="220" t="s">
        <v>298</v>
      </c>
      <c r="T4" s="220" t="s">
        <v>299</v>
      </c>
      <c r="U4" s="220" t="s">
        <v>300</v>
      </c>
      <c r="V4" s="220" t="s">
        <v>44</v>
      </c>
      <c r="W4" s="216"/>
      <c r="X4" s="216"/>
      <c r="Y4" s="221" t="s">
        <v>301</v>
      </c>
      <c r="Z4" s="216"/>
      <c r="AA4" s="222"/>
      <c r="AB4" s="220" t="s">
        <v>302</v>
      </c>
      <c r="AC4" s="223" t="s">
        <v>303</v>
      </c>
      <c r="AD4" s="31"/>
      <c r="AE4" s="8" t="s">
        <v>304</v>
      </c>
    </row>
    <row r="5" ht="13.5" customHeight="1">
      <c r="A5" s="224"/>
      <c r="B5" s="225"/>
      <c r="C5" s="222" t="s">
        <v>305</v>
      </c>
      <c r="D5" s="226" t="s">
        <v>306</v>
      </c>
      <c r="E5" s="226" t="s">
        <v>307</v>
      </c>
      <c r="F5" s="226" t="s">
        <v>308</v>
      </c>
      <c r="G5" s="226" t="s">
        <v>308</v>
      </c>
      <c r="H5" s="226" t="s">
        <v>308</v>
      </c>
      <c r="I5" s="226" t="s">
        <v>309</v>
      </c>
      <c r="J5" s="226" t="s">
        <v>310</v>
      </c>
      <c r="K5" s="227" t="s">
        <v>311</v>
      </c>
      <c r="L5" s="226" t="s">
        <v>312</v>
      </c>
      <c r="M5" s="222" t="s">
        <v>313</v>
      </c>
      <c r="N5" s="222" t="s">
        <v>314</v>
      </c>
      <c r="O5" s="226" t="s">
        <v>305</v>
      </c>
      <c r="P5" s="226" t="s">
        <v>306</v>
      </c>
      <c r="Q5" s="222" t="s">
        <v>315</v>
      </c>
      <c r="R5" s="226" t="s">
        <v>316</v>
      </c>
      <c r="S5" s="226" t="s">
        <v>57</v>
      </c>
      <c r="T5" s="226" t="s">
        <v>317</v>
      </c>
      <c r="U5" s="226" t="s">
        <v>58</v>
      </c>
      <c r="V5" s="226" t="s">
        <v>59</v>
      </c>
      <c r="W5" s="226" t="s">
        <v>318</v>
      </c>
      <c r="X5" s="226" t="s">
        <v>319</v>
      </c>
      <c r="Y5" s="226" t="s">
        <v>320</v>
      </c>
      <c r="Z5" s="226" t="s">
        <v>321</v>
      </c>
      <c r="AA5" s="226" t="s">
        <v>322</v>
      </c>
      <c r="AB5" s="228" t="s">
        <v>323</v>
      </c>
      <c r="AC5" s="229" t="s">
        <v>324</v>
      </c>
      <c r="AD5" s="229" t="s">
        <v>325</v>
      </c>
      <c r="AE5" s="8"/>
    </row>
    <row r="6" ht="13.5" customHeight="1">
      <c r="A6" s="217"/>
      <c r="B6" s="230" t="s">
        <v>326</v>
      </c>
      <c r="C6" s="231" t="s">
        <v>112</v>
      </c>
      <c r="D6" s="232" t="s">
        <v>327</v>
      </c>
      <c r="E6" s="232" t="s">
        <v>76</v>
      </c>
      <c r="F6" s="232">
        <v>177.0</v>
      </c>
      <c r="G6" s="232">
        <v>40.0</v>
      </c>
      <c r="H6" s="232">
        <v>54.4</v>
      </c>
      <c r="I6" s="232">
        <v>493.0</v>
      </c>
      <c r="J6" s="233" t="s">
        <v>328</v>
      </c>
      <c r="K6" s="234"/>
      <c r="L6" s="233" t="s">
        <v>328</v>
      </c>
      <c r="M6" s="233" t="s">
        <v>328</v>
      </c>
      <c r="N6" s="232">
        <v>1.0</v>
      </c>
      <c r="O6" s="231" t="s">
        <v>112</v>
      </c>
      <c r="P6" s="232" t="s">
        <v>327</v>
      </c>
      <c r="Q6" s="232">
        <v>6.0</v>
      </c>
      <c r="R6" s="232">
        <v>30.0</v>
      </c>
      <c r="S6" s="235">
        <v>5800.0</v>
      </c>
      <c r="T6" s="232">
        <v>12.0</v>
      </c>
      <c r="U6" s="236">
        <v>2650.0</v>
      </c>
      <c r="V6" s="236">
        <v>99600.0</v>
      </c>
      <c r="W6" s="233" t="s">
        <v>328</v>
      </c>
      <c r="X6" s="234"/>
      <c r="Y6" s="232" t="s">
        <v>329</v>
      </c>
      <c r="Z6" s="232">
        <v>67.0</v>
      </c>
      <c r="AA6" s="233" t="s">
        <v>328</v>
      </c>
      <c r="AB6" s="232" t="s">
        <v>115</v>
      </c>
      <c r="AC6" s="232" t="s">
        <v>330</v>
      </c>
      <c r="AD6" s="232" t="s">
        <v>331</v>
      </c>
      <c r="AE6" s="8"/>
    </row>
    <row r="7" ht="13.5" customHeight="1">
      <c r="A7" s="217" t="s">
        <v>332</v>
      </c>
      <c r="B7" s="230"/>
      <c r="C7" s="231" t="s">
        <v>116</v>
      </c>
      <c r="D7" s="232" t="s">
        <v>333</v>
      </c>
      <c r="E7" s="232" t="s">
        <v>119</v>
      </c>
      <c r="F7" s="232">
        <v>246.0</v>
      </c>
      <c r="G7" s="232">
        <v>40.0</v>
      </c>
      <c r="H7" s="232">
        <v>54.4</v>
      </c>
      <c r="I7" s="232">
        <v>640.0</v>
      </c>
      <c r="J7" s="233" t="s">
        <v>328</v>
      </c>
      <c r="K7" s="234"/>
      <c r="L7" s="233" t="s">
        <v>328</v>
      </c>
      <c r="M7" s="233" t="s">
        <v>328</v>
      </c>
      <c r="N7" s="232">
        <v>1.0</v>
      </c>
      <c r="O7" s="231" t="s">
        <v>116</v>
      </c>
      <c r="P7" s="232" t="s">
        <v>333</v>
      </c>
      <c r="Q7" s="232">
        <v>9.0</v>
      </c>
      <c r="R7" s="232">
        <v>45.0</v>
      </c>
      <c r="S7" s="235">
        <v>5800.0</v>
      </c>
      <c r="T7" s="232">
        <v>12.0</v>
      </c>
      <c r="U7" s="236">
        <v>4000.0</v>
      </c>
      <c r="V7" s="236">
        <v>112400.0</v>
      </c>
      <c r="W7" s="233" t="s">
        <v>328</v>
      </c>
      <c r="X7" s="234"/>
      <c r="Y7" s="232" t="s">
        <v>329</v>
      </c>
      <c r="Z7" s="232">
        <v>67.0</v>
      </c>
      <c r="AA7" s="233" t="s">
        <v>328</v>
      </c>
      <c r="AB7" s="232" t="s">
        <v>115</v>
      </c>
      <c r="AC7" s="232" t="s">
        <v>330</v>
      </c>
      <c r="AD7" s="232" t="s">
        <v>331</v>
      </c>
      <c r="AE7" s="8"/>
    </row>
    <row r="8" ht="13.5" customHeight="1">
      <c r="A8" s="217"/>
      <c r="B8" s="230"/>
      <c r="C8" s="231" t="s">
        <v>120</v>
      </c>
      <c r="D8" s="232" t="s">
        <v>334</v>
      </c>
      <c r="E8" s="232" t="s">
        <v>119</v>
      </c>
      <c r="F8" s="232">
        <v>522.0</v>
      </c>
      <c r="G8" s="232">
        <v>40.0</v>
      </c>
      <c r="H8" s="232">
        <v>54.4</v>
      </c>
      <c r="I8" s="236">
        <v>1265.0</v>
      </c>
      <c r="J8" s="233" t="s">
        <v>328</v>
      </c>
      <c r="K8" s="234"/>
      <c r="L8" s="233" t="s">
        <v>328</v>
      </c>
      <c r="M8" s="233" t="s">
        <v>328</v>
      </c>
      <c r="N8" s="232">
        <v>1.0</v>
      </c>
      <c r="O8" s="231" t="s">
        <v>120</v>
      </c>
      <c r="P8" s="232" t="s">
        <v>334</v>
      </c>
      <c r="Q8" s="232">
        <v>21.0</v>
      </c>
      <c r="R8" s="232">
        <v>105.0</v>
      </c>
      <c r="S8" s="235">
        <v>5800.0</v>
      </c>
      <c r="T8" s="232">
        <v>12.0</v>
      </c>
      <c r="U8" s="236">
        <v>9250.0</v>
      </c>
      <c r="V8" s="236">
        <v>233000.0</v>
      </c>
      <c r="W8" s="233" t="s">
        <v>328</v>
      </c>
      <c r="X8" s="234"/>
      <c r="Y8" s="232" t="s">
        <v>329</v>
      </c>
      <c r="Z8" s="232">
        <v>67.0</v>
      </c>
      <c r="AA8" s="233" t="s">
        <v>328</v>
      </c>
      <c r="AB8" s="232" t="s">
        <v>115</v>
      </c>
      <c r="AC8" s="232" t="s">
        <v>330</v>
      </c>
      <c r="AD8" s="232" t="s">
        <v>331</v>
      </c>
      <c r="AE8" s="8"/>
    </row>
    <row r="9" ht="13.5" customHeight="1">
      <c r="A9" s="217"/>
      <c r="B9" s="230"/>
      <c r="C9" s="231" t="s">
        <v>123</v>
      </c>
      <c r="D9" s="232" t="s">
        <v>335</v>
      </c>
      <c r="E9" s="232" t="s">
        <v>119</v>
      </c>
      <c r="F9" s="232">
        <v>798.0</v>
      </c>
      <c r="G9" s="232">
        <v>40.0</v>
      </c>
      <c r="H9" s="232">
        <v>54.4</v>
      </c>
      <c r="I9" s="236">
        <v>1850.0</v>
      </c>
      <c r="J9" s="233" t="s">
        <v>328</v>
      </c>
      <c r="K9" s="234"/>
      <c r="L9" s="233" t="s">
        <v>328</v>
      </c>
      <c r="M9" s="233" t="s">
        <v>328</v>
      </c>
      <c r="N9" s="232">
        <v>1.0</v>
      </c>
      <c r="O9" s="231" t="s">
        <v>123</v>
      </c>
      <c r="P9" s="232" t="s">
        <v>335</v>
      </c>
      <c r="Q9" s="232">
        <v>33.0</v>
      </c>
      <c r="R9" s="232">
        <v>165.0</v>
      </c>
      <c r="S9" s="235">
        <v>5800.0</v>
      </c>
      <c r="T9" s="232">
        <v>12.0</v>
      </c>
      <c r="U9" s="236">
        <v>14550.0</v>
      </c>
      <c r="V9" s="236">
        <v>263000.0</v>
      </c>
      <c r="W9" s="233" t="s">
        <v>328</v>
      </c>
      <c r="X9" s="234"/>
      <c r="Y9" s="232" t="s">
        <v>329</v>
      </c>
      <c r="Z9" s="232">
        <v>67.0</v>
      </c>
      <c r="AA9" s="233" t="s">
        <v>328</v>
      </c>
      <c r="AB9" s="232" t="s">
        <v>126</v>
      </c>
      <c r="AC9" s="232" t="s">
        <v>330</v>
      </c>
      <c r="AD9" s="232" t="s">
        <v>331</v>
      </c>
      <c r="AE9" s="8"/>
    </row>
    <row r="10" ht="13.5" customHeight="1">
      <c r="A10" s="217"/>
      <c r="B10" s="230"/>
      <c r="C10" s="231" t="s">
        <v>127</v>
      </c>
      <c r="D10" s="232" t="s">
        <v>336</v>
      </c>
      <c r="E10" s="232" t="s">
        <v>119</v>
      </c>
      <c r="F10" s="232">
        <v>1005.0</v>
      </c>
      <c r="G10" s="232">
        <v>40.0</v>
      </c>
      <c r="H10" s="232">
        <v>54.4</v>
      </c>
      <c r="I10" s="236">
        <v>2500.0</v>
      </c>
      <c r="J10" s="233" t="s">
        <v>328</v>
      </c>
      <c r="K10" s="234"/>
      <c r="L10" s="233" t="s">
        <v>328</v>
      </c>
      <c r="M10" s="233" t="s">
        <v>328</v>
      </c>
      <c r="N10" s="232">
        <v>1.0</v>
      </c>
      <c r="O10" s="231" t="s">
        <v>127</v>
      </c>
      <c r="P10" s="232" t="s">
        <v>336</v>
      </c>
      <c r="Q10" s="232">
        <v>42.0</v>
      </c>
      <c r="R10" s="232">
        <v>210.0</v>
      </c>
      <c r="S10" s="235">
        <v>5800.0</v>
      </c>
      <c r="T10" s="232">
        <v>12.0</v>
      </c>
      <c r="U10" s="236">
        <v>18500.0</v>
      </c>
      <c r="V10" s="236">
        <v>247000.0</v>
      </c>
      <c r="W10" s="233" t="s">
        <v>328</v>
      </c>
      <c r="X10" s="234"/>
      <c r="Y10" s="232" t="s">
        <v>329</v>
      </c>
      <c r="Z10" s="232">
        <v>67.0</v>
      </c>
      <c r="AA10" s="233" t="s">
        <v>328</v>
      </c>
      <c r="AB10" s="232" t="s">
        <v>126</v>
      </c>
      <c r="AC10" s="232" t="s">
        <v>330</v>
      </c>
      <c r="AD10" s="232" t="s">
        <v>331</v>
      </c>
      <c r="AE10" s="8"/>
    </row>
    <row r="11" ht="13.5" customHeight="1">
      <c r="A11" s="217"/>
      <c r="B11" s="237"/>
      <c r="C11" s="231" t="s">
        <v>130</v>
      </c>
      <c r="D11" s="232" t="s">
        <v>337</v>
      </c>
      <c r="E11" s="232" t="s">
        <v>133</v>
      </c>
      <c r="F11" s="232">
        <v>1281.0</v>
      </c>
      <c r="G11" s="232">
        <v>40.0</v>
      </c>
      <c r="H11" s="232">
        <v>54.4</v>
      </c>
      <c r="I11" s="236">
        <v>3100.0</v>
      </c>
      <c r="J11" s="233" t="s">
        <v>328</v>
      </c>
      <c r="K11" s="234"/>
      <c r="L11" s="233" t="s">
        <v>328</v>
      </c>
      <c r="M11" s="233" t="s">
        <v>328</v>
      </c>
      <c r="N11" s="232">
        <v>1.0</v>
      </c>
      <c r="O11" s="231" t="s">
        <v>130</v>
      </c>
      <c r="P11" s="232" t="s">
        <v>337</v>
      </c>
      <c r="Q11" s="232">
        <v>54.0</v>
      </c>
      <c r="R11" s="232">
        <v>250.0</v>
      </c>
      <c r="S11" s="235">
        <v>5800.0</v>
      </c>
      <c r="T11" s="232">
        <v>12.0</v>
      </c>
      <c r="U11" s="236">
        <v>23850.0</v>
      </c>
      <c r="V11" s="236">
        <v>801000.0</v>
      </c>
      <c r="W11" s="234"/>
      <c r="X11" s="234"/>
      <c r="Y11" s="232" t="s">
        <v>329</v>
      </c>
      <c r="Z11" s="232">
        <v>67.0</v>
      </c>
      <c r="AA11" s="233" t="s">
        <v>328</v>
      </c>
      <c r="AB11" s="232" t="s">
        <v>126</v>
      </c>
      <c r="AC11" s="232" t="s">
        <v>330</v>
      </c>
      <c r="AD11" s="232" t="s">
        <v>331</v>
      </c>
      <c r="AE11" s="8"/>
    </row>
    <row r="12" ht="43.5" customHeight="1">
      <c r="A12" s="238" t="s">
        <v>338</v>
      </c>
      <c r="B12" s="225" t="s">
        <v>339</v>
      </c>
      <c r="C12" s="239" t="s">
        <v>86</v>
      </c>
      <c r="D12" s="226" t="s">
        <v>340</v>
      </c>
      <c r="E12" s="226" t="s">
        <v>341</v>
      </c>
      <c r="F12" s="226">
        <v>97.0</v>
      </c>
      <c r="G12" s="226">
        <v>89.0</v>
      </c>
      <c r="H12" s="226">
        <v>73.0</v>
      </c>
      <c r="I12" s="226" t="s">
        <v>342</v>
      </c>
      <c r="J12" s="240" t="s">
        <v>328</v>
      </c>
      <c r="K12" s="240" t="s">
        <v>328</v>
      </c>
      <c r="L12" s="222"/>
      <c r="M12" s="240" t="s">
        <v>328</v>
      </c>
      <c r="N12" s="226">
        <v>2.0</v>
      </c>
      <c r="O12" s="239" t="s">
        <v>86</v>
      </c>
      <c r="P12" s="226" t="s">
        <v>340</v>
      </c>
      <c r="Q12" s="226">
        <v>10.0</v>
      </c>
      <c r="R12" s="226">
        <v>24.0</v>
      </c>
      <c r="S12" s="235">
        <v>5600.0</v>
      </c>
      <c r="T12" s="226">
        <v>12.0</v>
      </c>
      <c r="U12" s="226" t="s">
        <v>343</v>
      </c>
      <c r="V12" s="241">
        <v>48500.0</v>
      </c>
      <c r="W12" s="240" t="s">
        <v>328</v>
      </c>
      <c r="X12" s="222"/>
      <c r="Y12" s="226" t="s">
        <v>329</v>
      </c>
      <c r="Z12" s="226">
        <v>67.0</v>
      </c>
      <c r="AA12" s="240" t="s">
        <v>328</v>
      </c>
      <c r="AB12" s="226" t="s">
        <v>71</v>
      </c>
      <c r="AC12" s="226" t="s">
        <v>344</v>
      </c>
      <c r="AD12" s="226" t="s">
        <v>331</v>
      </c>
      <c r="AE12" s="8"/>
    </row>
    <row r="13" ht="39.75" customHeight="1">
      <c r="A13" s="242"/>
      <c r="B13" s="225" t="s">
        <v>339</v>
      </c>
      <c r="C13" s="239" t="s">
        <v>81</v>
      </c>
      <c r="D13" s="226" t="s">
        <v>340</v>
      </c>
      <c r="E13" s="226" t="s">
        <v>341</v>
      </c>
      <c r="F13" s="226">
        <v>97.0</v>
      </c>
      <c r="G13" s="226">
        <v>89.0</v>
      </c>
      <c r="H13" s="226">
        <v>73.0</v>
      </c>
      <c r="I13" s="226" t="s">
        <v>342</v>
      </c>
      <c r="J13" s="240" t="s">
        <v>328</v>
      </c>
      <c r="K13" s="240" t="s">
        <v>328</v>
      </c>
      <c r="L13" s="222"/>
      <c r="M13" s="240" t="s">
        <v>328</v>
      </c>
      <c r="N13" s="226">
        <v>2.0</v>
      </c>
      <c r="O13" s="239" t="s">
        <v>81</v>
      </c>
      <c r="P13" s="226" t="s">
        <v>340</v>
      </c>
      <c r="Q13" s="226">
        <v>10.0</v>
      </c>
      <c r="R13" s="226">
        <v>24.0</v>
      </c>
      <c r="S13" s="243" t="s">
        <v>345</v>
      </c>
      <c r="T13" s="226">
        <v>12.0</v>
      </c>
      <c r="U13" s="226" t="s">
        <v>343</v>
      </c>
      <c r="V13" s="241">
        <v>48500.0</v>
      </c>
      <c r="W13" s="222"/>
      <c r="X13" s="222"/>
      <c r="Y13" s="226" t="s">
        <v>329</v>
      </c>
      <c r="Z13" s="226">
        <v>67.0</v>
      </c>
      <c r="AA13" s="240" t="s">
        <v>328</v>
      </c>
      <c r="AB13" s="226" t="s">
        <v>71</v>
      </c>
      <c r="AC13" s="226" t="s">
        <v>344</v>
      </c>
      <c r="AD13" s="226" t="s">
        <v>331</v>
      </c>
      <c r="AE13" s="8"/>
    </row>
    <row r="14" ht="13.5" customHeight="1">
      <c r="A14" s="242"/>
      <c r="B14" s="244">
        <v>2000.0</v>
      </c>
      <c r="C14" s="245" t="s">
        <v>74</v>
      </c>
      <c r="D14" s="246" t="s">
        <v>346</v>
      </c>
      <c r="E14" s="246" t="s">
        <v>76</v>
      </c>
      <c r="F14" s="246">
        <v>81.0</v>
      </c>
      <c r="G14" s="246">
        <v>60.0</v>
      </c>
      <c r="H14" s="246">
        <v>58.0</v>
      </c>
      <c r="I14" s="246" t="s">
        <v>347</v>
      </c>
      <c r="J14" s="247" t="s">
        <v>328</v>
      </c>
      <c r="K14" s="247" t="s">
        <v>328</v>
      </c>
      <c r="L14" s="248"/>
      <c r="M14" s="247" t="s">
        <v>328</v>
      </c>
      <c r="N14" s="246">
        <v>2.0</v>
      </c>
      <c r="O14" s="245" t="s">
        <v>74</v>
      </c>
      <c r="P14" s="246" t="s">
        <v>346</v>
      </c>
      <c r="Q14" s="246">
        <v>2.0</v>
      </c>
      <c r="R14" s="246">
        <v>9.2</v>
      </c>
      <c r="S14" s="235">
        <v>5600.0</v>
      </c>
      <c r="T14" s="246">
        <v>12.0</v>
      </c>
      <c r="U14" s="246" t="s">
        <v>348</v>
      </c>
      <c r="V14" s="249">
        <v>23200.0</v>
      </c>
      <c r="W14" s="248"/>
      <c r="X14" s="248"/>
      <c r="Y14" s="246" t="s">
        <v>329</v>
      </c>
      <c r="Z14" s="246">
        <v>67.0</v>
      </c>
      <c r="AA14" s="247" t="s">
        <v>328</v>
      </c>
      <c r="AB14" s="246" t="s">
        <v>71</v>
      </c>
      <c r="AC14" s="246" t="s">
        <v>344</v>
      </c>
      <c r="AD14" s="246" t="s">
        <v>331</v>
      </c>
      <c r="AE14" s="8"/>
    </row>
    <row r="15" ht="13.5" customHeight="1">
      <c r="A15" s="242"/>
      <c r="B15" s="244"/>
      <c r="C15" s="245" t="s">
        <v>79</v>
      </c>
      <c r="D15" s="246" t="s">
        <v>346</v>
      </c>
      <c r="E15" s="246" t="s">
        <v>73</v>
      </c>
      <c r="F15" s="246">
        <v>81.0</v>
      </c>
      <c r="G15" s="246">
        <v>60.0</v>
      </c>
      <c r="H15" s="246">
        <v>58.0</v>
      </c>
      <c r="I15" s="246" t="s">
        <v>347</v>
      </c>
      <c r="J15" s="247" t="s">
        <v>328</v>
      </c>
      <c r="K15" s="247" t="s">
        <v>328</v>
      </c>
      <c r="L15" s="248"/>
      <c r="M15" s="247" t="s">
        <v>328</v>
      </c>
      <c r="N15" s="246">
        <v>2.0</v>
      </c>
      <c r="O15" s="245" t="s">
        <v>79</v>
      </c>
      <c r="P15" s="246" t="s">
        <v>346</v>
      </c>
      <c r="Q15" s="246">
        <v>2.0</v>
      </c>
      <c r="R15" s="246">
        <v>9.2</v>
      </c>
      <c r="S15" s="235">
        <v>5600.0</v>
      </c>
      <c r="T15" s="246">
        <v>12.0</v>
      </c>
      <c r="U15" s="246" t="s">
        <v>348</v>
      </c>
      <c r="V15" s="249">
        <v>3760.0</v>
      </c>
      <c r="W15" s="248"/>
      <c r="X15" s="248"/>
      <c r="Y15" s="246" t="s">
        <v>329</v>
      </c>
      <c r="Z15" s="246">
        <v>67.0</v>
      </c>
      <c r="AA15" s="247" t="s">
        <v>328</v>
      </c>
      <c r="AB15" s="246" t="s">
        <v>71</v>
      </c>
      <c r="AC15" s="246" t="s">
        <v>344</v>
      </c>
      <c r="AD15" s="246" t="s">
        <v>331</v>
      </c>
      <c r="AE15" s="8"/>
    </row>
    <row r="16" ht="13.5" customHeight="1">
      <c r="A16" s="242"/>
      <c r="B16" s="244"/>
      <c r="C16" s="245" t="s">
        <v>77</v>
      </c>
      <c r="D16" s="246" t="s">
        <v>346</v>
      </c>
      <c r="E16" s="246" t="s">
        <v>76</v>
      </c>
      <c r="F16" s="246">
        <v>81.0</v>
      </c>
      <c r="G16" s="246">
        <v>60.0</v>
      </c>
      <c r="H16" s="246">
        <v>58.0</v>
      </c>
      <c r="I16" s="246" t="s">
        <v>347</v>
      </c>
      <c r="J16" s="247" t="s">
        <v>328</v>
      </c>
      <c r="K16" s="247" t="s">
        <v>328</v>
      </c>
      <c r="L16" s="248"/>
      <c r="M16" s="247" t="s">
        <v>328</v>
      </c>
      <c r="N16" s="246">
        <v>2.0</v>
      </c>
      <c r="O16" s="245" t="s">
        <v>77</v>
      </c>
      <c r="P16" s="246" t="s">
        <v>346</v>
      </c>
      <c r="Q16" s="246">
        <v>2.0</v>
      </c>
      <c r="R16" s="246">
        <v>9.2</v>
      </c>
      <c r="S16" s="243" t="s">
        <v>345</v>
      </c>
      <c r="T16" s="246">
        <v>12.0</v>
      </c>
      <c r="U16" s="246" t="s">
        <v>348</v>
      </c>
      <c r="V16" s="249">
        <v>23200.0</v>
      </c>
      <c r="W16" s="248"/>
      <c r="X16" s="248"/>
      <c r="Y16" s="246" t="s">
        <v>329</v>
      </c>
      <c r="Z16" s="246">
        <v>67.0</v>
      </c>
      <c r="AA16" s="247" t="s">
        <v>328</v>
      </c>
      <c r="AB16" s="246" t="s">
        <v>71</v>
      </c>
      <c r="AC16" s="246" t="s">
        <v>344</v>
      </c>
      <c r="AD16" s="246" t="s">
        <v>331</v>
      </c>
      <c r="AE16" s="8"/>
    </row>
    <row r="17" ht="13.5" customHeight="1">
      <c r="A17" s="250"/>
      <c r="B17" s="251"/>
      <c r="C17" s="245" t="s">
        <v>66</v>
      </c>
      <c r="D17" s="246" t="s">
        <v>346</v>
      </c>
      <c r="E17" s="246" t="s">
        <v>73</v>
      </c>
      <c r="F17" s="246">
        <v>81.0</v>
      </c>
      <c r="G17" s="246">
        <v>60.0</v>
      </c>
      <c r="H17" s="246">
        <v>58.0</v>
      </c>
      <c r="I17" s="246" t="s">
        <v>347</v>
      </c>
      <c r="J17" s="247" t="s">
        <v>328</v>
      </c>
      <c r="K17" s="247" t="s">
        <v>328</v>
      </c>
      <c r="L17" s="248"/>
      <c r="M17" s="247" t="s">
        <v>328</v>
      </c>
      <c r="N17" s="246">
        <v>2.0</v>
      </c>
      <c r="O17" s="245" t="s">
        <v>66</v>
      </c>
      <c r="P17" s="246" t="s">
        <v>346</v>
      </c>
      <c r="Q17" s="246">
        <v>2.0</v>
      </c>
      <c r="R17" s="246">
        <v>9.2</v>
      </c>
      <c r="S17" s="243" t="s">
        <v>345</v>
      </c>
      <c r="T17" s="246">
        <v>12.0</v>
      </c>
      <c r="U17" s="246" t="s">
        <v>348</v>
      </c>
      <c r="V17" s="249">
        <v>3760.0</v>
      </c>
      <c r="W17" s="248"/>
      <c r="X17" s="248"/>
      <c r="Y17" s="246" t="s">
        <v>329</v>
      </c>
      <c r="Z17" s="246">
        <v>67.0</v>
      </c>
      <c r="AA17" s="247" t="s">
        <v>328</v>
      </c>
      <c r="AB17" s="246" t="s">
        <v>71</v>
      </c>
      <c r="AC17" s="246" t="s">
        <v>344</v>
      </c>
      <c r="AD17" s="246" t="s">
        <v>331</v>
      </c>
      <c r="AE17" s="8"/>
    </row>
    <row r="18" ht="13.5" customHeight="1">
      <c r="A18" s="217"/>
      <c r="B18" s="218"/>
      <c r="C18" s="239" t="s">
        <v>135</v>
      </c>
      <c r="D18" s="226" t="s">
        <v>349</v>
      </c>
      <c r="E18" s="226" t="s">
        <v>350</v>
      </c>
      <c r="F18" s="226">
        <v>575.0</v>
      </c>
      <c r="G18" s="226">
        <v>275.0</v>
      </c>
      <c r="H18" s="226">
        <v>145.0</v>
      </c>
      <c r="I18" s="226" t="s">
        <v>351</v>
      </c>
      <c r="J18" s="240" t="s">
        <v>328</v>
      </c>
      <c r="K18" s="222"/>
      <c r="L18" s="222"/>
      <c r="M18" s="240" t="s">
        <v>328</v>
      </c>
      <c r="N18" s="226">
        <v>2.0</v>
      </c>
      <c r="O18" s="239" t="s">
        <v>135</v>
      </c>
      <c r="P18" s="226" t="s">
        <v>327</v>
      </c>
      <c r="Q18" s="226">
        <v>16.0</v>
      </c>
      <c r="R18" s="226">
        <v>42.0</v>
      </c>
      <c r="S18" s="235" t="s">
        <v>352</v>
      </c>
      <c r="T18" s="252">
        <v>12.0</v>
      </c>
      <c r="U18" s="226" t="s">
        <v>353</v>
      </c>
      <c r="V18" s="241">
        <v>135000.0</v>
      </c>
      <c r="W18" s="240" t="s">
        <v>328</v>
      </c>
      <c r="X18" s="222"/>
      <c r="Y18" s="226" t="s">
        <v>329</v>
      </c>
      <c r="Z18" s="226">
        <v>68.0</v>
      </c>
      <c r="AA18" s="240" t="s">
        <v>328</v>
      </c>
      <c r="AB18" s="226" t="s">
        <v>139</v>
      </c>
      <c r="AC18" s="226" t="s">
        <v>354</v>
      </c>
      <c r="AD18" s="226" t="s">
        <v>331</v>
      </c>
      <c r="AE18" s="8"/>
    </row>
    <row r="19" ht="13.5" customHeight="1">
      <c r="A19" s="253" t="s">
        <v>355</v>
      </c>
      <c r="B19" s="254" t="s">
        <v>356</v>
      </c>
      <c r="C19" s="239" t="s">
        <v>142</v>
      </c>
      <c r="D19" s="252" t="s">
        <v>349</v>
      </c>
      <c r="E19" s="226" t="s">
        <v>350</v>
      </c>
      <c r="F19" s="226">
        <v>575.0</v>
      </c>
      <c r="G19" s="226">
        <v>275.0</v>
      </c>
      <c r="H19" s="226">
        <v>145.0</v>
      </c>
      <c r="I19" s="226" t="s">
        <v>351</v>
      </c>
      <c r="J19" s="255" t="s">
        <v>328</v>
      </c>
      <c r="K19" s="256"/>
      <c r="L19" s="256"/>
      <c r="M19" s="255" t="s">
        <v>328</v>
      </c>
      <c r="N19" s="252">
        <v>2.0</v>
      </c>
      <c r="O19" s="257" t="s">
        <v>142</v>
      </c>
      <c r="P19" s="252" t="s">
        <v>327</v>
      </c>
      <c r="Q19" s="252">
        <v>16.0</v>
      </c>
      <c r="R19" s="252">
        <v>42.0</v>
      </c>
      <c r="S19" s="243" t="s">
        <v>345</v>
      </c>
      <c r="T19" s="252">
        <v>12.0</v>
      </c>
      <c r="U19" s="226" t="s">
        <v>353</v>
      </c>
      <c r="V19" s="258">
        <v>135000.0</v>
      </c>
      <c r="W19" s="256"/>
      <c r="X19" s="256"/>
      <c r="Y19" s="252" t="s">
        <v>329</v>
      </c>
      <c r="Z19" s="252">
        <v>68.0</v>
      </c>
      <c r="AA19" s="255" t="s">
        <v>328</v>
      </c>
      <c r="AB19" s="226" t="s">
        <v>139</v>
      </c>
      <c r="AC19" s="252" t="s">
        <v>354</v>
      </c>
      <c r="AD19" s="252" t="s">
        <v>331</v>
      </c>
      <c r="AE19" s="8"/>
    </row>
    <row r="20" ht="13.5" customHeight="1">
      <c r="A20" s="259"/>
      <c r="B20" s="260"/>
      <c r="C20" s="239" t="s">
        <v>145</v>
      </c>
      <c r="D20" s="252" t="s">
        <v>357</v>
      </c>
      <c r="E20" s="226" t="s">
        <v>350</v>
      </c>
      <c r="F20" s="252">
        <v>770.0</v>
      </c>
      <c r="G20" s="252">
        <v>300.0</v>
      </c>
      <c r="H20" s="252">
        <v>175.0</v>
      </c>
      <c r="I20" s="252" t="s">
        <v>358</v>
      </c>
      <c r="J20" s="255" t="s">
        <v>328</v>
      </c>
      <c r="K20" s="256"/>
      <c r="L20" s="256"/>
      <c r="M20" s="255" t="s">
        <v>328</v>
      </c>
      <c r="N20" s="252">
        <v>2.0</v>
      </c>
      <c r="O20" s="257" t="s">
        <v>145</v>
      </c>
      <c r="P20" s="252" t="s">
        <v>359</v>
      </c>
      <c r="Q20" s="252">
        <v>32.0</v>
      </c>
      <c r="R20" s="252">
        <v>100.0</v>
      </c>
      <c r="S20" s="235" t="s">
        <v>352</v>
      </c>
      <c r="T20" s="252">
        <v>12.0</v>
      </c>
      <c r="U20" s="252" t="s">
        <v>360</v>
      </c>
      <c r="V20" s="258">
        <v>215000.0</v>
      </c>
      <c r="W20" s="240" t="s">
        <v>328</v>
      </c>
      <c r="X20" s="256"/>
      <c r="Y20" s="252" t="s">
        <v>329</v>
      </c>
      <c r="Z20" s="252">
        <v>68.0</v>
      </c>
      <c r="AA20" s="255" t="s">
        <v>328</v>
      </c>
      <c r="AB20" s="226" t="s">
        <v>139</v>
      </c>
      <c r="AC20" s="252" t="s">
        <v>354</v>
      </c>
      <c r="AD20" s="252" t="s">
        <v>331</v>
      </c>
      <c r="AE20" s="8"/>
    </row>
    <row r="21" ht="13.5" customHeight="1">
      <c r="A21" s="261" t="s">
        <v>355</v>
      </c>
      <c r="B21" s="262" t="s">
        <v>361</v>
      </c>
      <c r="C21" s="263" t="s">
        <v>98</v>
      </c>
      <c r="D21" s="264" t="s">
        <v>362</v>
      </c>
      <c r="E21" s="264" t="s">
        <v>363</v>
      </c>
      <c r="F21" s="264">
        <v>185.0</v>
      </c>
      <c r="G21" s="264">
        <v>250.0</v>
      </c>
      <c r="H21" s="264">
        <v>120.0</v>
      </c>
      <c r="I21" s="264" t="s">
        <v>364</v>
      </c>
      <c r="J21" s="265" t="s">
        <v>328</v>
      </c>
      <c r="K21" s="265" t="s">
        <v>328</v>
      </c>
      <c r="L21" s="266"/>
      <c r="M21" s="265" t="s">
        <v>328</v>
      </c>
      <c r="N21" s="264">
        <v>2.0</v>
      </c>
      <c r="O21" s="267" t="s">
        <v>98</v>
      </c>
      <c r="P21" s="264" t="s">
        <v>365</v>
      </c>
      <c r="Q21" s="264">
        <v>4.0</v>
      </c>
      <c r="R21" s="264" t="s">
        <v>366</v>
      </c>
      <c r="S21" s="268" t="s">
        <v>367</v>
      </c>
      <c r="T21" s="264">
        <v>12.0</v>
      </c>
      <c r="U21" s="264" t="s">
        <v>368</v>
      </c>
      <c r="V21" s="264" t="s">
        <v>101</v>
      </c>
      <c r="W21" s="266"/>
      <c r="X21" s="266"/>
      <c r="Y21" s="264" t="s">
        <v>329</v>
      </c>
      <c r="Z21" s="264">
        <v>67.0</v>
      </c>
      <c r="AA21" s="265" t="s">
        <v>328</v>
      </c>
      <c r="AB21" s="264" t="s">
        <v>102</v>
      </c>
      <c r="AC21" s="264" t="s">
        <v>354</v>
      </c>
      <c r="AD21" s="264" t="s">
        <v>331</v>
      </c>
      <c r="AE21" s="8"/>
    </row>
    <row r="22" ht="13.5" customHeight="1">
      <c r="A22" s="269"/>
      <c r="B22" s="269"/>
      <c r="C22" s="263" t="s">
        <v>109</v>
      </c>
      <c r="D22" s="264" t="s">
        <v>369</v>
      </c>
      <c r="E22" s="264" t="s">
        <v>370</v>
      </c>
      <c r="F22" s="264">
        <v>185.0</v>
      </c>
      <c r="G22" s="264">
        <v>250.0</v>
      </c>
      <c r="H22" s="264">
        <v>120.0</v>
      </c>
      <c r="I22" s="264" t="s">
        <v>364</v>
      </c>
      <c r="J22" s="265" t="s">
        <v>328</v>
      </c>
      <c r="K22" s="265" t="s">
        <v>328</v>
      </c>
      <c r="L22" s="266"/>
      <c r="M22" s="265" t="s">
        <v>328</v>
      </c>
      <c r="N22" s="264">
        <v>2.0</v>
      </c>
      <c r="O22" s="267" t="s">
        <v>109</v>
      </c>
      <c r="P22" s="264" t="s">
        <v>365</v>
      </c>
      <c r="Q22" s="264">
        <v>4.0</v>
      </c>
      <c r="R22" s="264" t="s">
        <v>366</v>
      </c>
      <c r="S22" s="270" t="s">
        <v>371</v>
      </c>
      <c r="T22" s="264">
        <v>12.0</v>
      </c>
      <c r="U22" s="264" t="s">
        <v>372</v>
      </c>
      <c r="V22" s="271">
        <v>53100.0</v>
      </c>
      <c r="W22" s="265" t="s">
        <v>328</v>
      </c>
      <c r="X22" s="266"/>
      <c r="Y22" s="264" t="s">
        <v>329</v>
      </c>
      <c r="Z22" s="264">
        <v>67.0</v>
      </c>
      <c r="AA22" s="265" t="s">
        <v>328</v>
      </c>
      <c r="AB22" s="264" t="s">
        <v>105</v>
      </c>
      <c r="AC22" s="264" t="s">
        <v>354</v>
      </c>
      <c r="AD22" s="264" t="s">
        <v>331</v>
      </c>
      <c r="AE22" s="8"/>
    </row>
    <row r="23" ht="13.5" customHeight="1">
      <c r="A23" s="269"/>
      <c r="B23" s="269"/>
      <c r="C23" s="263" t="s">
        <v>103</v>
      </c>
      <c r="D23" s="264" t="s">
        <v>369</v>
      </c>
      <c r="E23" s="264" t="s">
        <v>373</v>
      </c>
      <c r="F23" s="264">
        <v>185.0</v>
      </c>
      <c r="G23" s="264">
        <v>250.0</v>
      </c>
      <c r="H23" s="264">
        <v>120.0</v>
      </c>
      <c r="I23" s="264" t="s">
        <v>364</v>
      </c>
      <c r="J23" s="265" t="s">
        <v>328</v>
      </c>
      <c r="K23" s="265" t="s">
        <v>328</v>
      </c>
      <c r="L23" s="266"/>
      <c r="M23" s="265" t="s">
        <v>328</v>
      </c>
      <c r="N23" s="264">
        <v>2.0</v>
      </c>
      <c r="O23" s="263" t="s">
        <v>103</v>
      </c>
      <c r="P23" s="264" t="s">
        <v>365</v>
      </c>
      <c r="Q23" s="266"/>
      <c r="R23" s="264" t="s">
        <v>366</v>
      </c>
      <c r="S23" s="270" t="s">
        <v>371</v>
      </c>
      <c r="T23" s="264">
        <v>12.0</v>
      </c>
      <c r="U23" s="264" t="s">
        <v>372</v>
      </c>
      <c r="V23" s="264"/>
      <c r="W23" s="265" t="s">
        <v>328</v>
      </c>
      <c r="X23" s="266"/>
      <c r="Y23" s="264" t="s">
        <v>329</v>
      </c>
      <c r="Z23" s="264">
        <v>67.0</v>
      </c>
      <c r="AA23" s="265" t="s">
        <v>328</v>
      </c>
      <c r="AB23" s="264" t="s">
        <v>105</v>
      </c>
      <c r="AC23" s="264" t="s">
        <v>354</v>
      </c>
      <c r="AD23" s="264" t="s">
        <v>331</v>
      </c>
      <c r="AE23" s="272">
        <v>45597.0</v>
      </c>
    </row>
    <row r="24" ht="13.5" customHeight="1">
      <c r="A24" s="273"/>
      <c r="B24" s="273"/>
      <c r="C24" s="274" t="s">
        <v>107</v>
      </c>
      <c r="D24" s="264" t="s">
        <v>369</v>
      </c>
      <c r="E24" s="264" t="s">
        <v>373</v>
      </c>
      <c r="F24" s="264">
        <v>185.0</v>
      </c>
      <c r="G24" s="264">
        <v>250.0</v>
      </c>
      <c r="H24" s="264">
        <v>120.0</v>
      </c>
      <c r="I24" s="264" t="s">
        <v>364</v>
      </c>
      <c r="J24" s="265" t="s">
        <v>328</v>
      </c>
      <c r="K24" s="265" t="s">
        <v>328</v>
      </c>
      <c r="L24" s="266"/>
      <c r="M24" s="265" t="s">
        <v>328</v>
      </c>
      <c r="N24" s="264">
        <v>2.0</v>
      </c>
      <c r="O24" s="274" t="s">
        <v>107</v>
      </c>
      <c r="P24" s="264" t="s">
        <v>365</v>
      </c>
      <c r="Q24" s="266"/>
      <c r="R24" s="264" t="s">
        <v>366</v>
      </c>
      <c r="S24" s="227" t="s">
        <v>345</v>
      </c>
      <c r="T24" s="264">
        <v>12.0</v>
      </c>
      <c r="U24" s="264" t="s">
        <v>372</v>
      </c>
      <c r="V24" s="264"/>
      <c r="W24" s="265" t="s">
        <v>328</v>
      </c>
      <c r="X24" s="266"/>
      <c r="Y24" s="264" t="s">
        <v>329</v>
      </c>
      <c r="Z24" s="264">
        <v>67.0</v>
      </c>
      <c r="AA24" s="265" t="s">
        <v>328</v>
      </c>
      <c r="AB24" s="264" t="s">
        <v>105</v>
      </c>
      <c r="AC24" s="264" t="s">
        <v>354</v>
      </c>
      <c r="AD24" s="264" t="s">
        <v>331</v>
      </c>
      <c r="AE24" s="272">
        <v>45597.0</v>
      </c>
    </row>
    <row r="25" ht="13.5" customHeight="1">
      <c r="A25" s="275" t="s">
        <v>355</v>
      </c>
      <c r="B25" s="225" t="s">
        <v>374</v>
      </c>
      <c r="C25" s="276" t="s">
        <v>89</v>
      </c>
      <c r="D25" s="226" t="s">
        <v>375</v>
      </c>
      <c r="E25" s="252" t="s">
        <v>370</v>
      </c>
      <c r="F25" s="226"/>
      <c r="G25" s="226"/>
      <c r="H25" s="226"/>
      <c r="I25" s="226"/>
      <c r="J25" s="240" t="s">
        <v>328</v>
      </c>
      <c r="K25" s="240" t="s">
        <v>328</v>
      </c>
      <c r="L25" s="222"/>
      <c r="M25" s="265" t="s">
        <v>328</v>
      </c>
      <c r="N25" s="264">
        <v>2.0</v>
      </c>
      <c r="O25" s="276" t="s">
        <v>89</v>
      </c>
      <c r="P25" s="252" t="s">
        <v>376</v>
      </c>
      <c r="Q25" s="226">
        <v>4.0</v>
      </c>
      <c r="R25" s="222" t="s">
        <v>377</v>
      </c>
      <c r="S25" s="277" t="s">
        <v>378</v>
      </c>
      <c r="T25" s="252">
        <v>12.0</v>
      </c>
      <c r="U25" s="252" t="s">
        <v>372</v>
      </c>
      <c r="V25" s="226"/>
      <c r="W25" s="222"/>
      <c r="X25" s="222"/>
      <c r="Y25" s="252" t="s">
        <v>329</v>
      </c>
      <c r="Z25" s="252">
        <v>68.0</v>
      </c>
      <c r="AA25" s="255" t="s">
        <v>328</v>
      </c>
      <c r="AB25" s="226" t="s">
        <v>379</v>
      </c>
      <c r="AC25" s="252" t="s">
        <v>354</v>
      </c>
      <c r="AD25" s="252" t="s">
        <v>331</v>
      </c>
      <c r="AE25" s="8"/>
    </row>
    <row r="26" ht="13.5" customHeight="1">
      <c r="A26" s="211"/>
      <c r="B26" s="210"/>
      <c r="C26" s="211"/>
      <c r="D26" s="210"/>
      <c r="E26" s="210"/>
      <c r="F26" s="210"/>
      <c r="G26" s="210"/>
      <c r="H26" s="210"/>
      <c r="I26" s="210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0"/>
      <c r="AC26" s="211"/>
      <c r="AD26" s="211"/>
      <c r="AE26" s="8"/>
    </row>
    <row r="27" ht="13.5" customHeight="1">
      <c r="A27" s="211"/>
      <c r="B27" s="210"/>
      <c r="C27" s="211"/>
      <c r="D27" s="210"/>
      <c r="E27" s="210"/>
      <c r="F27" s="210"/>
      <c r="G27" s="210"/>
      <c r="H27" s="210"/>
      <c r="I27" s="210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0"/>
      <c r="AC27" s="211"/>
      <c r="AD27" s="211"/>
      <c r="AE27" s="8"/>
    </row>
    <row r="28" ht="13.5" customHeight="1">
      <c r="A28" s="211"/>
      <c r="B28" s="210"/>
      <c r="C28" s="211"/>
      <c r="D28" s="210"/>
      <c r="E28" s="210"/>
      <c r="F28" s="210"/>
      <c r="G28" s="210"/>
      <c r="H28" s="210"/>
      <c r="I28" s="210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0"/>
      <c r="AC28" s="211"/>
      <c r="AD28" s="211"/>
      <c r="AE28" s="8"/>
    </row>
    <row r="29" ht="13.5" customHeight="1">
      <c r="A29" s="211"/>
      <c r="B29" s="210"/>
      <c r="C29" s="211"/>
      <c r="D29" s="210"/>
      <c r="E29" s="210"/>
      <c r="F29" s="210"/>
      <c r="G29" s="210"/>
      <c r="H29" s="210"/>
      <c r="I29" s="210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0"/>
      <c r="AC29" s="211"/>
      <c r="AD29" s="211"/>
      <c r="AE29" s="8"/>
    </row>
    <row r="30" ht="13.5" customHeight="1">
      <c r="A30" s="211"/>
      <c r="B30" s="210"/>
      <c r="C30" s="211"/>
      <c r="D30" s="210"/>
      <c r="E30" s="210"/>
      <c r="F30" s="210"/>
      <c r="G30" s="210"/>
      <c r="H30" s="210"/>
      <c r="I30" s="210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0"/>
      <c r="AC30" s="211"/>
      <c r="AD30" s="211"/>
      <c r="AE30" s="8"/>
    </row>
    <row r="31" ht="13.5" customHeight="1">
      <c r="A31" s="211"/>
      <c r="B31" s="210"/>
      <c r="C31" s="211"/>
      <c r="D31" s="210"/>
      <c r="E31" s="210"/>
      <c r="F31" s="210"/>
      <c r="G31" s="210"/>
      <c r="H31" s="210"/>
      <c r="I31" s="210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0"/>
      <c r="AC31" s="211"/>
      <c r="AD31" s="211"/>
      <c r="AE31" s="8"/>
    </row>
    <row r="32" ht="13.5" customHeight="1">
      <c r="A32" s="211"/>
      <c r="B32" s="210"/>
      <c r="C32" s="211"/>
      <c r="D32" s="210"/>
      <c r="E32" s="210"/>
      <c r="F32" s="210"/>
      <c r="G32" s="210"/>
      <c r="H32" s="210"/>
      <c r="I32" s="210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0"/>
      <c r="AC32" s="211"/>
      <c r="AD32" s="211"/>
      <c r="AE32" s="8"/>
    </row>
    <row r="33" ht="13.5" customHeight="1">
      <c r="A33" s="211"/>
      <c r="B33" s="210"/>
      <c r="C33" s="211"/>
      <c r="D33" s="210"/>
      <c r="E33" s="210"/>
      <c r="F33" s="210"/>
      <c r="G33" s="210"/>
      <c r="H33" s="210"/>
      <c r="I33" s="210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0"/>
      <c r="AC33" s="211"/>
      <c r="AD33" s="211"/>
      <c r="AE33" s="8"/>
    </row>
    <row r="34" ht="13.5" customHeight="1">
      <c r="A34" s="211"/>
      <c r="B34" s="210"/>
      <c r="C34" s="211"/>
      <c r="D34" s="210"/>
      <c r="E34" s="210"/>
      <c r="F34" s="210"/>
      <c r="G34" s="210"/>
      <c r="H34" s="210"/>
      <c r="I34" s="210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0"/>
      <c r="AC34" s="211"/>
      <c r="AD34" s="211"/>
      <c r="AE34" s="8"/>
    </row>
    <row r="35" ht="13.5" customHeight="1">
      <c r="A35" s="211"/>
      <c r="B35" s="210"/>
      <c r="C35" s="211"/>
      <c r="D35" s="210"/>
      <c r="E35" s="210"/>
      <c r="F35" s="210"/>
      <c r="G35" s="210"/>
      <c r="H35" s="210"/>
      <c r="I35" s="210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0"/>
      <c r="AC35" s="211"/>
      <c r="AD35" s="211"/>
      <c r="AE35" s="8"/>
    </row>
    <row r="36" ht="13.5" customHeight="1">
      <c r="A36" s="211"/>
      <c r="B36" s="210"/>
      <c r="C36" s="211"/>
      <c r="D36" s="210"/>
      <c r="E36" s="210"/>
      <c r="F36" s="210"/>
      <c r="G36" s="210"/>
      <c r="H36" s="210"/>
      <c r="I36" s="210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0"/>
      <c r="AC36" s="211"/>
      <c r="AD36" s="211"/>
      <c r="AE36" s="8"/>
    </row>
    <row r="37" ht="13.5" customHeight="1">
      <c r="A37" s="211"/>
      <c r="B37" s="210"/>
      <c r="C37" s="211"/>
      <c r="D37" s="210"/>
      <c r="E37" s="210"/>
      <c r="F37" s="210"/>
      <c r="G37" s="210"/>
      <c r="H37" s="210"/>
      <c r="I37" s="210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0"/>
      <c r="AC37" s="211"/>
      <c r="AD37" s="211"/>
      <c r="AE37" s="8"/>
    </row>
    <row r="38" ht="13.5" customHeight="1">
      <c r="A38" s="211"/>
      <c r="B38" s="210"/>
      <c r="C38" s="211"/>
      <c r="D38" s="210"/>
      <c r="E38" s="210"/>
      <c r="F38" s="210"/>
      <c r="G38" s="210"/>
      <c r="H38" s="210"/>
      <c r="I38" s="210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0"/>
      <c r="AC38" s="211"/>
      <c r="AD38" s="211"/>
      <c r="AE38" s="8"/>
    </row>
    <row r="39" ht="13.5" customHeight="1">
      <c r="A39" s="211"/>
      <c r="B39" s="210"/>
      <c r="C39" s="211"/>
      <c r="D39" s="210"/>
      <c r="E39" s="210"/>
      <c r="F39" s="210"/>
      <c r="G39" s="210"/>
      <c r="H39" s="210"/>
      <c r="I39" s="210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0"/>
      <c r="AC39" s="211"/>
      <c r="AD39" s="211"/>
      <c r="AE39" s="8"/>
    </row>
    <row r="40" ht="13.5" customHeight="1">
      <c r="A40" s="211"/>
      <c r="B40" s="210"/>
      <c r="C40" s="211"/>
      <c r="D40" s="210"/>
      <c r="E40" s="210"/>
      <c r="F40" s="210"/>
      <c r="G40" s="210"/>
      <c r="H40" s="210"/>
      <c r="I40" s="210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0"/>
      <c r="AC40" s="211"/>
      <c r="AD40" s="211"/>
      <c r="AE40" s="8"/>
    </row>
    <row r="41" ht="13.5" customHeight="1">
      <c r="A41" s="211"/>
      <c r="B41" s="210"/>
      <c r="C41" s="211"/>
      <c r="D41" s="210"/>
      <c r="E41" s="210"/>
      <c r="F41" s="210"/>
      <c r="G41" s="210"/>
      <c r="H41" s="210"/>
      <c r="I41" s="210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0"/>
      <c r="AC41" s="211"/>
      <c r="AD41" s="211"/>
      <c r="AE41" s="8"/>
    </row>
    <row r="42" ht="13.5" customHeight="1">
      <c r="A42" s="211"/>
      <c r="B42" s="210"/>
      <c r="C42" s="211"/>
      <c r="D42" s="210"/>
      <c r="E42" s="210"/>
      <c r="F42" s="210"/>
      <c r="G42" s="210"/>
      <c r="H42" s="210"/>
      <c r="I42" s="210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0"/>
      <c r="AC42" s="211"/>
      <c r="AD42" s="211"/>
      <c r="AE42" s="8"/>
    </row>
    <row r="43" ht="13.5" customHeight="1">
      <c r="A43" s="211"/>
      <c r="B43" s="210"/>
      <c r="C43" s="211"/>
      <c r="D43" s="210"/>
      <c r="E43" s="210"/>
      <c r="F43" s="210"/>
      <c r="G43" s="210"/>
      <c r="H43" s="210"/>
      <c r="I43" s="210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0"/>
      <c r="AC43" s="211"/>
      <c r="AD43" s="211"/>
      <c r="AE43" s="8"/>
    </row>
    <row r="44" ht="13.5" customHeight="1">
      <c r="A44" s="211"/>
      <c r="B44" s="210"/>
      <c r="C44" s="211"/>
      <c r="D44" s="210"/>
      <c r="E44" s="210"/>
      <c r="F44" s="210"/>
      <c r="G44" s="210"/>
      <c r="H44" s="210"/>
      <c r="I44" s="210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0"/>
      <c r="AC44" s="211"/>
      <c r="AD44" s="211"/>
      <c r="AE44" s="8"/>
    </row>
    <row r="45" ht="13.5" customHeight="1">
      <c r="A45" s="211"/>
      <c r="B45" s="210"/>
      <c r="C45" s="211"/>
      <c r="D45" s="210"/>
      <c r="E45" s="210"/>
      <c r="F45" s="210"/>
      <c r="G45" s="210"/>
      <c r="H45" s="210"/>
      <c r="I45" s="210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0"/>
      <c r="AC45" s="211"/>
      <c r="AD45" s="211"/>
      <c r="AE45" s="8"/>
    </row>
    <row r="46" ht="13.5" customHeight="1">
      <c r="A46" s="211"/>
      <c r="B46" s="210"/>
      <c r="C46" s="211"/>
      <c r="D46" s="210"/>
      <c r="E46" s="210"/>
      <c r="F46" s="210"/>
      <c r="G46" s="210"/>
      <c r="H46" s="210"/>
      <c r="I46" s="210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0"/>
      <c r="AC46" s="211"/>
      <c r="AD46" s="211"/>
      <c r="AE46" s="8"/>
    </row>
    <row r="47" ht="13.5" customHeight="1">
      <c r="A47" s="211"/>
      <c r="B47" s="210"/>
      <c r="C47" s="211"/>
      <c r="D47" s="210"/>
      <c r="E47" s="210"/>
      <c r="F47" s="210"/>
      <c r="G47" s="210"/>
      <c r="H47" s="210"/>
      <c r="I47" s="210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0"/>
      <c r="AC47" s="211"/>
      <c r="AD47" s="211"/>
      <c r="AE47" s="8"/>
    </row>
    <row r="48" ht="13.5" customHeight="1">
      <c r="A48" s="211"/>
      <c r="B48" s="210"/>
      <c r="C48" s="211"/>
      <c r="D48" s="210"/>
      <c r="E48" s="210"/>
      <c r="F48" s="210"/>
      <c r="G48" s="210"/>
      <c r="H48" s="210"/>
      <c r="I48" s="210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0"/>
      <c r="AC48" s="211"/>
      <c r="AD48" s="211"/>
      <c r="AE48" s="8"/>
    </row>
    <row r="49" ht="13.5" customHeight="1">
      <c r="A49" s="211"/>
      <c r="B49" s="210"/>
      <c r="C49" s="211"/>
      <c r="D49" s="210"/>
      <c r="E49" s="210"/>
      <c r="F49" s="210"/>
      <c r="G49" s="210"/>
      <c r="H49" s="210"/>
      <c r="I49" s="210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0"/>
      <c r="AC49" s="211"/>
      <c r="AD49" s="211"/>
      <c r="AE49" s="8"/>
    </row>
    <row r="50" ht="13.5" customHeight="1">
      <c r="A50" s="211"/>
      <c r="B50" s="210"/>
      <c r="C50" s="211"/>
      <c r="D50" s="210"/>
      <c r="E50" s="210"/>
      <c r="F50" s="210"/>
      <c r="G50" s="210"/>
      <c r="H50" s="210"/>
      <c r="I50" s="210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0"/>
      <c r="AC50" s="211"/>
      <c r="AD50" s="211"/>
      <c r="AE50" s="8"/>
    </row>
    <row r="51" ht="13.5" customHeight="1">
      <c r="A51" s="211"/>
      <c r="B51" s="210"/>
      <c r="C51" s="211"/>
      <c r="D51" s="210"/>
      <c r="E51" s="210"/>
      <c r="F51" s="210"/>
      <c r="G51" s="210"/>
      <c r="H51" s="210"/>
      <c r="I51" s="210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0"/>
      <c r="AC51" s="211"/>
      <c r="AD51" s="211"/>
      <c r="AE51" s="8"/>
    </row>
    <row r="52" ht="13.5" customHeight="1">
      <c r="A52" s="211"/>
      <c r="B52" s="210"/>
      <c r="C52" s="211"/>
      <c r="D52" s="210"/>
      <c r="E52" s="210"/>
      <c r="F52" s="210"/>
      <c r="G52" s="210"/>
      <c r="H52" s="210"/>
      <c r="I52" s="210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0"/>
      <c r="AC52" s="211"/>
      <c r="AD52" s="211"/>
      <c r="AE52" s="8"/>
    </row>
    <row r="53" ht="13.5" customHeight="1">
      <c r="A53" s="211"/>
      <c r="B53" s="210"/>
      <c r="C53" s="211"/>
      <c r="D53" s="210"/>
      <c r="E53" s="210"/>
      <c r="F53" s="210"/>
      <c r="G53" s="210"/>
      <c r="H53" s="210"/>
      <c r="I53" s="210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  <c r="AA53" s="211"/>
      <c r="AB53" s="210"/>
      <c r="AC53" s="211"/>
      <c r="AD53" s="211"/>
      <c r="AE53" s="8"/>
    </row>
    <row r="54" ht="13.5" customHeight="1">
      <c r="A54" s="211"/>
      <c r="B54" s="210"/>
      <c r="C54" s="211"/>
      <c r="D54" s="210"/>
      <c r="E54" s="210"/>
      <c r="F54" s="210"/>
      <c r="G54" s="210"/>
      <c r="H54" s="210"/>
      <c r="I54" s="210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0"/>
      <c r="AC54" s="211"/>
      <c r="AD54" s="211"/>
      <c r="AE54" s="8"/>
    </row>
    <row r="55" ht="13.5" customHeight="1">
      <c r="A55" s="211"/>
      <c r="B55" s="210"/>
      <c r="C55" s="211"/>
      <c r="D55" s="210"/>
      <c r="E55" s="210"/>
      <c r="F55" s="210"/>
      <c r="G55" s="210"/>
      <c r="H55" s="210"/>
      <c r="I55" s="210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1"/>
      <c r="AB55" s="210"/>
      <c r="AC55" s="211"/>
      <c r="AD55" s="211"/>
      <c r="AE55" s="8"/>
    </row>
    <row r="56" ht="13.5" customHeight="1">
      <c r="A56" s="211"/>
      <c r="B56" s="210"/>
      <c r="C56" s="211"/>
      <c r="D56" s="210"/>
      <c r="E56" s="210"/>
      <c r="F56" s="210"/>
      <c r="G56" s="210"/>
      <c r="H56" s="210"/>
      <c r="I56" s="210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0"/>
      <c r="AC56" s="211"/>
      <c r="AD56" s="211"/>
      <c r="AE56" s="8"/>
    </row>
    <row r="57" ht="13.5" customHeight="1">
      <c r="A57" s="211"/>
      <c r="B57" s="210"/>
      <c r="C57" s="211"/>
      <c r="D57" s="210"/>
      <c r="E57" s="210"/>
      <c r="F57" s="210"/>
      <c r="G57" s="210"/>
      <c r="H57" s="210"/>
      <c r="I57" s="210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0"/>
      <c r="AC57" s="211"/>
      <c r="AD57" s="211"/>
      <c r="AE57" s="8"/>
    </row>
    <row r="58" ht="13.5" customHeight="1">
      <c r="A58" s="211"/>
      <c r="B58" s="210"/>
      <c r="C58" s="211"/>
      <c r="D58" s="210"/>
      <c r="E58" s="210"/>
      <c r="F58" s="210"/>
      <c r="G58" s="210"/>
      <c r="H58" s="210"/>
      <c r="I58" s="210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0"/>
      <c r="AC58" s="211"/>
      <c r="AD58" s="211"/>
      <c r="AE58" s="8"/>
    </row>
    <row r="59" ht="13.5" customHeight="1">
      <c r="A59" s="211"/>
      <c r="B59" s="210"/>
      <c r="C59" s="211"/>
      <c r="D59" s="210"/>
      <c r="E59" s="210"/>
      <c r="F59" s="210"/>
      <c r="G59" s="210"/>
      <c r="H59" s="210"/>
      <c r="I59" s="210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  <c r="AA59" s="211"/>
      <c r="AB59" s="210"/>
      <c r="AC59" s="211"/>
      <c r="AD59" s="211"/>
      <c r="AE59" s="8"/>
    </row>
    <row r="60" ht="13.5" customHeight="1">
      <c r="A60" s="211"/>
      <c r="B60" s="210"/>
      <c r="C60" s="211"/>
      <c r="D60" s="210"/>
      <c r="E60" s="210"/>
      <c r="F60" s="210"/>
      <c r="G60" s="210"/>
      <c r="H60" s="210"/>
      <c r="I60" s="210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  <c r="AA60" s="211"/>
      <c r="AB60" s="210"/>
      <c r="AC60" s="211"/>
      <c r="AD60" s="211"/>
      <c r="AE60" s="8"/>
    </row>
    <row r="61" ht="13.5" customHeight="1">
      <c r="A61" s="211"/>
      <c r="B61" s="210"/>
      <c r="C61" s="211"/>
      <c r="D61" s="210"/>
      <c r="E61" s="210"/>
      <c r="F61" s="210"/>
      <c r="G61" s="210"/>
      <c r="H61" s="210"/>
      <c r="I61" s="210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  <c r="AA61" s="211"/>
      <c r="AB61" s="210"/>
      <c r="AC61" s="211"/>
      <c r="AD61" s="211"/>
      <c r="AE61" s="8"/>
    </row>
    <row r="62" ht="13.5" customHeight="1">
      <c r="A62" s="211"/>
      <c r="B62" s="210"/>
      <c r="C62" s="211"/>
      <c r="D62" s="210"/>
      <c r="E62" s="210"/>
      <c r="F62" s="210"/>
      <c r="G62" s="210"/>
      <c r="H62" s="210"/>
      <c r="I62" s="210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  <c r="AA62" s="211"/>
      <c r="AB62" s="210"/>
      <c r="AC62" s="211"/>
      <c r="AD62" s="211"/>
      <c r="AE62" s="8"/>
    </row>
    <row r="63" ht="13.5" customHeight="1">
      <c r="A63" s="211"/>
      <c r="B63" s="210"/>
      <c r="C63" s="211"/>
      <c r="D63" s="210"/>
      <c r="E63" s="210"/>
      <c r="F63" s="210"/>
      <c r="G63" s="210"/>
      <c r="H63" s="210"/>
      <c r="I63" s="210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  <c r="AA63" s="211"/>
      <c r="AB63" s="210"/>
      <c r="AC63" s="211"/>
      <c r="AD63" s="211"/>
      <c r="AE63" s="8"/>
    </row>
    <row r="64" ht="13.5" customHeight="1">
      <c r="A64" s="211"/>
      <c r="B64" s="210"/>
      <c r="C64" s="211"/>
      <c r="D64" s="210"/>
      <c r="E64" s="210"/>
      <c r="F64" s="210"/>
      <c r="G64" s="210"/>
      <c r="H64" s="210"/>
      <c r="I64" s="210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  <c r="AA64" s="211"/>
      <c r="AB64" s="210"/>
      <c r="AC64" s="211"/>
      <c r="AD64" s="211"/>
      <c r="AE64" s="8"/>
    </row>
    <row r="65" ht="13.5" customHeight="1">
      <c r="A65" s="211"/>
      <c r="B65" s="210"/>
      <c r="C65" s="211"/>
      <c r="D65" s="210"/>
      <c r="E65" s="210"/>
      <c r="F65" s="210"/>
      <c r="G65" s="210"/>
      <c r="H65" s="210"/>
      <c r="I65" s="210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  <c r="AA65" s="211"/>
      <c r="AB65" s="210"/>
      <c r="AC65" s="211"/>
      <c r="AD65" s="211"/>
      <c r="AE65" s="8"/>
    </row>
    <row r="66" ht="13.5" customHeight="1">
      <c r="A66" s="211"/>
      <c r="B66" s="210"/>
      <c r="C66" s="211"/>
      <c r="D66" s="210"/>
      <c r="E66" s="210"/>
      <c r="F66" s="210"/>
      <c r="G66" s="210"/>
      <c r="H66" s="210"/>
      <c r="I66" s="210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1"/>
      <c r="AB66" s="210"/>
      <c r="AC66" s="211"/>
      <c r="AD66" s="211"/>
      <c r="AE66" s="8"/>
    </row>
    <row r="67" ht="13.5" customHeight="1">
      <c r="A67" s="211"/>
      <c r="B67" s="210"/>
      <c r="C67" s="211"/>
      <c r="D67" s="210"/>
      <c r="E67" s="210"/>
      <c r="F67" s="210"/>
      <c r="G67" s="210"/>
      <c r="H67" s="210"/>
      <c r="I67" s="210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0"/>
      <c r="AC67" s="211"/>
      <c r="AD67" s="211"/>
      <c r="AE67" s="8"/>
    </row>
    <row r="68" ht="13.5" customHeight="1">
      <c r="A68" s="211"/>
      <c r="B68" s="210"/>
      <c r="C68" s="211"/>
      <c r="D68" s="210"/>
      <c r="E68" s="210"/>
      <c r="F68" s="210"/>
      <c r="G68" s="210"/>
      <c r="H68" s="210"/>
      <c r="I68" s="210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11"/>
      <c r="AB68" s="210"/>
      <c r="AC68" s="211"/>
      <c r="AD68" s="211"/>
      <c r="AE68" s="8"/>
    </row>
    <row r="69" ht="13.5" customHeight="1">
      <c r="A69" s="211"/>
      <c r="B69" s="210"/>
      <c r="C69" s="211"/>
      <c r="D69" s="210"/>
      <c r="E69" s="210"/>
      <c r="F69" s="210"/>
      <c r="G69" s="210"/>
      <c r="H69" s="210"/>
      <c r="I69" s="210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  <c r="AA69" s="211"/>
      <c r="AB69" s="210"/>
      <c r="AC69" s="211"/>
      <c r="AD69" s="211"/>
      <c r="AE69" s="8"/>
    </row>
    <row r="70" ht="13.5" customHeight="1">
      <c r="A70" s="211"/>
      <c r="B70" s="210"/>
      <c r="C70" s="211"/>
      <c r="D70" s="210"/>
      <c r="E70" s="210"/>
      <c r="F70" s="210"/>
      <c r="G70" s="210"/>
      <c r="H70" s="210"/>
      <c r="I70" s="210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11"/>
      <c r="AB70" s="210"/>
      <c r="AC70" s="211"/>
      <c r="AD70" s="211"/>
      <c r="AE70" s="8"/>
    </row>
    <row r="71" ht="13.5" customHeight="1">
      <c r="A71" s="211"/>
      <c r="B71" s="210"/>
      <c r="C71" s="211"/>
      <c r="D71" s="210"/>
      <c r="E71" s="210"/>
      <c r="F71" s="210"/>
      <c r="G71" s="210"/>
      <c r="H71" s="210"/>
      <c r="I71" s="210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  <c r="Z71" s="211"/>
      <c r="AA71" s="211"/>
      <c r="AB71" s="210"/>
      <c r="AC71" s="211"/>
      <c r="AD71" s="211"/>
      <c r="AE71" s="8"/>
    </row>
    <row r="72" ht="13.5" customHeight="1">
      <c r="A72" s="211"/>
      <c r="B72" s="210"/>
      <c r="C72" s="211"/>
      <c r="D72" s="210"/>
      <c r="E72" s="210"/>
      <c r="F72" s="210"/>
      <c r="G72" s="210"/>
      <c r="H72" s="210"/>
      <c r="I72" s="210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0"/>
      <c r="AC72" s="211"/>
      <c r="AD72" s="211"/>
      <c r="AE72" s="8"/>
    </row>
    <row r="73" ht="13.5" customHeight="1">
      <c r="A73" s="211"/>
      <c r="B73" s="210"/>
      <c r="C73" s="211"/>
      <c r="D73" s="210"/>
      <c r="E73" s="210"/>
      <c r="F73" s="210"/>
      <c r="G73" s="210"/>
      <c r="H73" s="210"/>
      <c r="I73" s="210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  <c r="Z73" s="211"/>
      <c r="AA73" s="211"/>
      <c r="AB73" s="210"/>
      <c r="AC73" s="211"/>
      <c r="AD73" s="211"/>
      <c r="AE73" s="8"/>
    </row>
    <row r="74" ht="13.5" customHeight="1">
      <c r="A74" s="211"/>
      <c r="B74" s="210"/>
      <c r="C74" s="211"/>
      <c r="D74" s="210"/>
      <c r="E74" s="210"/>
      <c r="F74" s="210"/>
      <c r="G74" s="210"/>
      <c r="H74" s="210"/>
      <c r="I74" s="210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11"/>
      <c r="AB74" s="210"/>
      <c r="AC74" s="211"/>
      <c r="AD74" s="211"/>
      <c r="AE74" s="8"/>
    </row>
    <row r="75" ht="13.5" customHeight="1">
      <c r="A75" s="211"/>
      <c r="B75" s="210"/>
      <c r="C75" s="211"/>
      <c r="D75" s="210"/>
      <c r="E75" s="210"/>
      <c r="F75" s="210"/>
      <c r="G75" s="210"/>
      <c r="H75" s="210"/>
      <c r="I75" s="210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  <c r="AA75" s="211"/>
      <c r="AB75" s="210"/>
      <c r="AC75" s="211"/>
      <c r="AD75" s="211"/>
      <c r="AE75" s="8"/>
    </row>
    <row r="76" ht="13.5" customHeight="1">
      <c r="A76" s="211"/>
      <c r="B76" s="210"/>
      <c r="C76" s="211"/>
      <c r="D76" s="210"/>
      <c r="E76" s="210"/>
      <c r="F76" s="210"/>
      <c r="G76" s="210"/>
      <c r="H76" s="210"/>
      <c r="I76" s="210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11"/>
      <c r="AA76" s="211"/>
      <c r="AB76" s="210"/>
      <c r="AC76" s="211"/>
      <c r="AD76" s="211"/>
      <c r="AE76" s="8"/>
    </row>
    <row r="77" ht="13.5" customHeight="1">
      <c r="A77" s="211"/>
      <c r="B77" s="210"/>
      <c r="C77" s="211"/>
      <c r="D77" s="210"/>
      <c r="E77" s="210"/>
      <c r="F77" s="210"/>
      <c r="G77" s="210"/>
      <c r="H77" s="210"/>
      <c r="I77" s="210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11"/>
      <c r="AA77" s="211"/>
      <c r="AB77" s="210"/>
      <c r="AC77" s="211"/>
      <c r="AD77" s="211"/>
      <c r="AE77" s="8"/>
    </row>
    <row r="78" ht="13.5" customHeight="1">
      <c r="A78" s="211"/>
      <c r="B78" s="210"/>
      <c r="C78" s="211"/>
      <c r="D78" s="210"/>
      <c r="E78" s="210"/>
      <c r="F78" s="210"/>
      <c r="G78" s="210"/>
      <c r="H78" s="210"/>
      <c r="I78" s="210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  <c r="Z78" s="211"/>
      <c r="AA78" s="211"/>
      <c r="AB78" s="210"/>
      <c r="AC78" s="211"/>
      <c r="AD78" s="211"/>
      <c r="AE78" s="8"/>
    </row>
    <row r="79" ht="13.5" customHeight="1">
      <c r="A79" s="211"/>
      <c r="B79" s="210"/>
      <c r="C79" s="211"/>
      <c r="D79" s="210"/>
      <c r="E79" s="210"/>
      <c r="F79" s="210"/>
      <c r="G79" s="210"/>
      <c r="H79" s="210"/>
      <c r="I79" s="210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  <c r="Z79" s="211"/>
      <c r="AA79" s="211"/>
      <c r="AB79" s="210"/>
      <c r="AC79" s="211"/>
      <c r="AD79" s="211"/>
      <c r="AE79" s="8"/>
    </row>
    <row r="80" ht="13.5" customHeight="1">
      <c r="A80" s="211"/>
      <c r="B80" s="210"/>
      <c r="C80" s="211"/>
      <c r="D80" s="210"/>
      <c r="E80" s="210"/>
      <c r="F80" s="210"/>
      <c r="G80" s="210"/>
      <c r="H80" s="210"/>
      <c r="I80" s="210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  <c r="AA80" s="211"/>
      <c r="AB80" s="210"/>
      <c r="AC80" s="211"/>
      <c r="AD80" s="211"/>
      <c r="AE80" s="8"/>
    </row>
    <row r="81" ht="13.5" customHeight="1">
      <c r="A81" s="211"/>
      <c r="B81" s="210"/>
      <c r="C81" s="211"/>
      <c r="D81" s="210"/>
      <c r="E81" s="210"/>
      <c r="F81" s="210"/>
      <c r="G81" s="210"/>
      <c r="H81" s="210"/>
      <c r="I81" s="210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0"/>
      <c r="AC81" s="211"/>
      <c r="AD81" s="211"/>
      <c r="AE81" s="8"/>
    </row>
    <row r="82" ht="13.5" customHeight="1">
      <c r="A82" s="211"/>
      <c r="B82" s="210"/>
      <c r="C82" s="211"/>
      <c r="D82" s="210"/>
      <c r="E82" s="210"/>
      <c r="F82" s="210"/>
      <c r="G82" s="210"/>
      <c r="H82" s="210"/>
      <c r="I82" s="210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  <c r="Z82" s="211"/>
      <c r="AA82" s="211"/>
      <c r="AB82" s="210"/>
      <c r="AC82" s="211"/>
      <c r="AD82" s="211"/>
      <c r="AE82" s="8"/>
    </row>
    <row r="83" ht="13.5" customHeight="1">
      <c r="A83" s="211"/>
      <c r="B83" s="210"/>
      <c r="C83" s="211"/>
      <c r="D83" s="210"/>
      <c r="E83" s="210"/>
      <c r="F83" s="210"/>
      <c r="G83" s="210"/>
      <c r="H83" s="210"/>
      <c r="I83" s="210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  <c r="Z83" s="211"/>
      <c r="AA83" s="211"/>
      <c r="AB83" s="210"/>
      <c r="AC83" s="211"/>
      <c r="AD83" s="211"/>
      <c r="AE83" s="8"/>
    </row>
    <row r="84" ht="13.5" customHeight="1">
      <c r="A84" s="211"/>
      <c r="B84" s="210"/>
      <c r="C84" s="211"/>
      <c r="D84" s="210"/>
      <c r="E84" s="210"/>
      <c r="F84" s="210"/>
      <c r="G84" s="210"/>
      <c r="H84" s="210"/>
      <c r="I84" s="210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  <c r="Z84" s="211"/>
      <c r="AA84" s="211"/>
      <c r="AB84" s="210"/>
      <c r="AC84" s="211"/>
      <c r="AD84" s="211"/>
      <c r="AE84" s="8"/>
    </row>
    <row r="85" ht="13.5" customHeight="1">
      <c r="A85" s="211"/>
      <c r="B85" s="210"/>
      <c r="C85" s="211"/>
      <c r="D85" s="210"/>
      <c r="E85" s="210"/>
      <c r="F85" s="210"/>
      <c r="G85" s="210"/>
      <c r="H85" s="210"/>
      <c r="I85" s="210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  <c r="Z85" s="211"/>
      <c r="AA85" s="211"/>
      <c r="AB85" s="210"/>
      <c r="AC85" s="211"/>
      <c r="AD85" s="211"/>
      <c r="AE85" s="8"/>
    </row>
    <row r="86" ht="13.5" customHeight="1">
      <c r="A86" s="211"/>
      <c r="B86" s="210"/>
      <c r="C86" s="211"/>
      <c r="D86" s="210"/>
      <c r="E86" s="210"/>
      <c r="F86" s="210"/>
      <c r="G86" s="210"/>
      <c r="H86" s="210"/>
      <c r="I86" s="210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  <c r="Z86" s="211"/>
      <c r="AA86" s="211"/>
      <c r="AB86" s="210"/>
      <c r="AC86" s="211"/>
      <c r="AD86" s="211"/>
      <c r="AE86" s="8"/>
    </row>
    <row r="87" ht="13.5" customHeight="1">
      <c r="A87" s="211"/>
      <c r="B87" s="210"/>
      <c r="C87" s="211"/>
      <c r="D87" s="210"/>
      <c r="E87" s="210"/>
      <c r="F87" s="210"/>
      <c r="G87" s="210"/>
      <c r="H87" s="210"/>
      <c r="I87" s="210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  <c r="Z87" s="211"/>
      <c r="AA87" s="211"/>
      <c r="AB87" s="210"/>
      <c r="AC87" s="211"/>
      <c r="AD87" s="211"/>
      <c r="AE87" s="8"/>
    </row>
    <row r="88" ht="13.5" customHeight="1">
      <c r="A88" s="211"/>
      <c r="B88" s="210"/>
      <c r="C88" s="211"/>
      <c r="D88" s="210"/>
      <c r="E88" s="210"/>
      <c r="F88" s="210"/>
      <c r="G88" s="210"/>
      <c r="H88" s="210"/>
      <c r="I88" s="210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  <c r="Z88" s="211"/>
      <c r="AA88" s="211"/>
      <c r="AB88" s="210"/>
      <c r="AC88" s="211"/>
      <c r="AD88" s="211"/>
      <c r="AE88" s="8"/>
    </row>
    <row r="89" ht="13.5" customHeight="1">
      <c r="A89" s="211"/>
      <c r="B89" s="210"/>
      <c r="C89" s="211"/>
      <c r="D89" s="210"/>
      <c r="E89" s="210"/>
      <c r="F89" s="210"/>
      <c r="G89" s="210"/>
      <c r="H89" s="210"/>
      <c r="I89" s="210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  <c r="Z89" s="211"/>
      <c r="AA89" s="211"/>
      <c r="AB89" s="210"/>
      <c r="AC89" s="211"/>
      <c r="AD89" s="211"/>
      <c r="AE89" s="8"/>
    </row>
    <row r="90" ht="13.5" customHeight="1">
      <c r="A90" s="211"/>
      <c r="B90" s="210"/>
      <c r="C90" s="211"/>
      <c r="D90" s="210"/>
      <c r="E90" s="210"/>
      <c r="F90" s="210"/>
      <c r="G90" s="210"/>
      <c r="H90" s="210"/>
      <c r="I90" s="210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  <c r="Z90" s="211"/>
      <c r="AA90" s="211"/>
      <c r="AB90" s="210"/>
      <c r="AC90" s="211"/>
      <c r="AD90" s="211"/>
      <c r="AE90" s="8"/>
    </row>
    <row r="91" ht="13.5" customHeight="1">
      <c r="A91" s="211"/>
      <c r="B91" s="210"/>
      <c r="C91" s="211"/>
      <c r="D91" s="210"/>
      <c r="E91" s="210"/>
      <c r="F91" s="210"/>
      <c r="G91" s="210"/>
      <c r="H91" s="210"/>
      <c r="I91" s="210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  <c r="Z91" s="211"/>
      <c r="AA91" s="211"/>
      <c r="AB91" s="210"/>
      <c r="AC91" s="211"/>
      <c r="AD91" s="211"/>
      <c r="AE91" s="8"/>
    </row>
    <row r="92" ht="13.5" customHeight="1">
      <c r="A92" s="211"/>
      <c r="B92" s="210"/>
      <c r="C92" s="211"/>
      <c r="D92" s="210"/>
      <c r="E92" s="210"/>
      <c r="F92" s="210"/>
      <c r="G92" s="210"/>
      <c r="H92" s="210"/>
      <c r="I92" s="210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  <c r="Z92" s="211"/>
      <c r="AA92" s="211"/>
      <c r="AB92" s="210"/>
      <c r="AC92" s="211"/>
      <c r="AD92" s="211"/>
      <c r="AE92" s="8"/>
    </row>
    <row r="93" ht="13.5" customHeight="1">
      <c r="A93" s="211"/>
      <c r="B93" s="210"/>
      <c r="C93" s="211"/>
      <c r="D93" s="210"/>
      <c r="E93" s="210"/>
      <c r="F93" s="210"/>
      <c r="G93" s="210"/>
      <c r="H93" s="210"/>
      <c r="I93" s="210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  <c r="Z93" s="211"/>
      <c r="AA93" s="211"/>
      <c r="AB93" s="210"/>
      <c r="AC93" s="211"/>
      <c r="AD93" s="211"/>
      <c r="AE93" s="8"/>
    </row>
    <row r="94" ht="13.5" customHeight="1">
      <c r="A94" s="211"/>
      <c r="B94" s="210"/>
      <c r="C94" s="211"/>
      <c r="D94" s="210"/>
      <c r="E94" s="210"/>
      <c r="F94" s="210"/>
      <c r="G94" s="210"/>
      <c r="H94" s="210"/>
      <c r="I94" s="210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  <c r="Z94" s="211"/>
      <c r="AA94" s="211"/>
      <c r="AB94" s="210"/>
      <c r="AC94" s="211"/>
      <c r="AD94" s="211"/>
      <c r="AE94" s="8"/>
    </row>
    <row r="95" ht="13.5" customHeight="1">
      <c r="A95" s="211"/>
      <c r="B95" s="210"/>
      <c r="C95" s="211"/>
      <c r="D95" s="210"/>
      <c r="E95" s="210"/>
      <c r="F95" s="210"/>
      <c r="G95" s="210"/>
      <c r="H95" s="210"/>
      <c r="I95" s="210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  <c r="Z95" s="211"/>
      <c r="AA95" s="211"/>
      <c r="AB95" s="210"/>
      <c r="AC95" s="211"/>
      <c r="AD95" s="211"/>
      <c r="AE95" s="8"/>
    </row>
    <row r="96" ht="13.5" customHeight="1">
      <c r="A96" s="211"/>
      <c r="B96" s="210"/>
      <c r="C96" s="211"/>
      <c r="D96" s="210"/>
      <c r="E96" s="210"/>
      <c r="F96" s="210"/>
      <c r="G96" s="210"/>
      <c r="H96" s="210"/>
      <c r="I96" s="210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  <c r="Z96" s="211"/>
      <c r="AA96" s="211"/>
      <c r="AB96" s="210"/>
      <c r="AC96" s="211"/>
      <c r="AD96" s="211"/>
      <c r="AE96" s="8"/>
    </row>
    <row r="97" ht="13.5" customHeight="1">
      <c r="A97" s="211"/>
      <c r="B97" s="210"/>
      <c r="C97" s="211"/>
      <c r="D97" s="210"/>
      <c r="E97" s="210"/>
      <c r="F97" s="210"/>
      <c r="G97" s="210"/>
      <c r="H97" s="210"/>
      <c r="I97" s="210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  <c r="Z97" s="211"/>
      <c r="AA97" s="211"/>
      <c r="AB97" s="210"/>
      <c r="AC97" s="211"/>
      <c r="AD97" s="211"/>
      <c r="AE97" s="8"/>
    </row>
    <row r="98" ht="13.5" customHeight="1">
      <c r="A98" s="211"/>
      <c r="B98" s="210"/>
      <c r="C98" s="211"/>
      <c r="D98" s="210"/>
      <c r="E98" s="210"/>
      <c r="F98" s="210"/>
      <c r="G98" s="210"/>
      <c r="H98" s="210"/>
      <c r="I98" s="210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  <c r="Z98" s="211"/>
      <c r="AA98" s="211"/>
      <c r="AB98" s="210"/>
      <c r="AC98" s="211"/>
      <c r="AD98" s="211"/>
      <c r="AE98" s="8"/>
    </row>
    <row r="99" ht="13.5" customHeight="1">
      <c r="A99" s="211"/>
      <c r="B99" s="210"/>
      <c r="C99" s="211"/>
      <c r="D99" s="210"/>
      <c r="E99" s="210"/>
      <c r="F99" s="210"/>
      <c r="G99" s="210"/>
      <c r="H99" s="210"/>
      <c r="I99" s="210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0"/>
      <c r="AC99" s="211"/>
      <c r="AD99" s="211"/>
      <c r="AE99" s="8"/>
    </row>
    <row r="100" ht="13.5" customHeight="1">
      <c r="A100" s="211"/>
      <c r="B100" s="210"/>
      <c r="C100" s="211"/>
      <c r="D100" s="210"/>
      <c r="E100" s="210"/>
      <c r="F100" s="210"/>
      <c r="G100" s="210"/>
      <c r="H100" s="210"/>
      <c r="I100" s="210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  <c r="Z100" s="211"/>
      <c r="AA100" s="211"/>
      <c r="AB100" s="210"/>
      <c r="AC100" s="211"/>
      <c r="AD100" s="211"/>
      <c r="AE100" s="8"/>
    </row>
    <row r="101" ht="13.5" customHeight="1">
      <c r="A101" s="211"/>
      <c r="B101" s="210"/>
      <c r="C101" s="211"/>
      <c r="D101" s="210"/>
      <c r="E101" s="210"/>
      <c r="F101" s="210"/>
      <c r="G101" s="210"/>
      <c r="H101" s="210"/>
      <c r="I101" s="210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  <c r="Z101" s="211"/>
      <c r="AA101" s="211"/>
      <c r="AB101" s="210"/>
      <c r="AC101" s="211"/>
      <c r="AD101" s="211"/>
      <c r="AE101" s="8"/>
    </row>
    <row r="102" ht="13.5" customHeight="1">
      <c r="A102" s="211"/>
      <c r="B102" s="210"/>
      <c r="C102" s="211"/>
      <c r="D102" s="210"/>
      <c r="E102" s="210"/>
      <c r="F102" s="210"/>
      <c r="G102" s="210"/>
      <c r="H102" s="210"/>
      <c r="I102" s="210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11"/>
      <c r="AA102" s="211"/>
      <c r="AB102" s="210"/>
      <c r="AC102" s="211"/>
      <c r="AD102" s="211"/>
      <c r="AE102" s="8"/>
    </row>
    <row r="103" ht="13.5" customHeight="1">
      <c r="A103" s="211"/>
      <c r="B103" s="210"/>
      <c r="C103" s="211"/>
      <c r="D103" s="210"/>
      <c r="E103" s="210"/>
      <c r="F103" s="210"/>
      <c r="G103" s="210"/>
      <c r="H103" s="210"/>
      <c r="I103" s="210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11"/>
      <c r="AB103" s="210"/>
      <c r="AC103" s="211"/>
      <c r="AD103" s="211"/>
      <c r="AE103" s="8"/>
    </row>
    <row r="104" ht="13.5" customHeight="1">
      <c r="A104" s="211"/>
      <c r="B104" s="210"/>
      <c r="C104" s="211"/>
      <c r="D104" s="210"/>
      <c r="E104" s="210"/>
      <c r="F104" s="210"/>
      <c r="G104" s="210"/>
      <c r="H104" s="210"/>
      <c r="I104" s="210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11"/>
      <c r="AA104" s="211"/>
      <c r="AB104" s="210"/>
      <c r="AC104" s="211"/>
      <c r="AD104" s="211"/>
      <c r="AE104" s="8"/>
    </row>
    <row r="105" ht="13.5" customHeight="1">
      <c r="A105" s="211"/>
      <c r="B105" s="210"/>
      <c r="C105" s="211"/>
      <c r="D105" s="210"/>
      <c r="E105" s="210"/>
      <c r="F105" s="210"/>
      <c r="G105" s="210"/>
      <c r="H105" s="210"/>
      <c r="I105" s="210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  <c r="AA105" s="211"/>
      <c r="AB105" s="210"/>
      <c r="AC105" s="211"/>
      <c r="AD105" s="211"/>
      <c r="AE105" s="8"/>
    </row>
    <row r="106" ht="13.5" customHeight="1">
      <c r="A106" s="211"/>
      <c r="B106" s="210"/>
      <c r="C106" s="211"/>
      <c r="D106" s="210"/>
      <c r="E106" s="210"/>
      <c r="F106" s="210"/>
      <c r="G106" s="210"/>
      <c r="H106" s="210"/>
      <c r="I106" s="210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11"/>
      <c r="AA106" s="211"/>
      <c r="AB106" s="210"/>
      <c r="AC106" s="211"/>
      <c r="AD106" s="211"/>
      <c r="AE106" s="8"/>
    </row>
    <row r="107" ht="13.5" customHeight="1">
      <c r="A107" s="211"/>
      <c r="B107" s="210"/>
      <c r="C107" s="211"/>
      <c r="D107" s="210"/>
      <c r="E107" s="210"/>
      <c r="F107" s="210"/>
      <c r="G107" s="210"/>
      <c r="H107" s="210"/>
      <c r="I107" s="210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11"/>
      <c r="AA107" s="211"/>
      <c r="AB107" s="210"/>
      <c r="AC107" s="211"/>
      <c r="AD107" s="211"/>
      <c r="AE107" s="8"/>
    </row>
    <row r="108" ht="13.5" customHeight="1">
      <c r="A108" s="211"/>
      <c r="B108" s="210"/>
      <c r="C108" s="211"/>
      <c r="D108" s="210"/>
      <c r="E108" s="210"/>
      <c r="F108" s="210"/>
      <c r="G108" s="210"/>
      <c r="H108" s="210"/>
      <c r="I108" s="210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  <c r="AA108" s="211"/>
      <c r="AB108" s="210"/>
      <c r="AC108" s="211"/>
      <c r="AD108" s="211"/>
      <c r="AE108" s="8"/>
    </row>
    <row r="109" ht="13.5" customHeight="1">
      <c r="A109" s="211"/>
      <c r="B109" s="210"/>
      <c r="C109" s="211"/>
      <c r="D109" s="210"/>
      <c r="E109" s="210"/>
      <c r="F109" s="210"/>
      <c r="G109" s="210"/>
      <c r="H109" s="210"/>
      <c r="I109" s="210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  <c r="AA109" s="211"/>
      <c r="AB109" s="210"/>
      <c r="AC109" s="211"/>
      <c r="AD109" s="211"/>
      <c r="AE109" s="8"/>
    </row>
    <row r="110" ht="13.5" customHeight="1">
      <c r="A110" s="211"/>
      <c r="B110" s="210"/>
      <c r="C110" s="211"/>
      <c r="D110" s="210"/>
      <c r="E110" s="210"/>
      <c r="F110" s="210"/>
      <c r="G110" s="210"/>
      <c r="H110" s="210"/>
      <c r="I110" s="210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0"/>
      <c r="AC110" s="211"/>
      <c r="AD110" s="211"/>
      <c r="AE110" s="8"/>
    </row>
    <row r="111" ht="13.5" customHeight="1">
      <c r="A111" s="211"/>
      <c r="B111" s="210"/>
      <c r="C111" s="211"/>
      <c r="D111" s="210"/>
      <c r="E111" s="210"/>
      <c r="F111" s="210"/>
      <c r="G111" s="210"/>
      <c r="H111" s="210"/>
      <c r="I111" s="210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11"/>
      <c r="AB111" s="210"/>
      <c r="AC111" s="211"/>
      <c r="AD111" s="211"/>
      <c r="AE111" s="8"/>
    </row>
    <row r="112" ht="13.5" customHeight="1">
      <c r="A112" s="211"/>
      <c r="B112" s="210"/>
      <c r="C112" s="211"/>
      <c r="D112" s="210"/>
      <c r="E112" s="210"/>
      <c r="F112" s="210"/>
      <c r="G112" s="210"/>
      <c r="H112" s="210"/>
      <c r="I112" s="210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11"/>
      <c r="AB112" s="210"/>
      <c r="AC112" s="211"/>
      <c r="AD112" s="211"/>
      <c r="AE112" s="8"/>
    </row>
    <row r="113" ht="13.5" customHeight="1">
      <c r="A113" s="211"/>
      <c r="B113" s="210"/>
      <c r="C113" s="211"/>
      <c r="D113" s="210"/>
      <c r="E113" s="210"/>
      <c r="F113" s="210"/>
      <c r="G113" s="210"/>
      <c r="H113" s="210"/>
      <c r="I113" s="210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  <c r="AA113" s="211"/>
      <c r="AB113" s="210"/>
      <c r="AC113" s="211"/>
      <c r="AD113" s="211"/>
      <c r="AE113" s="8"/>
    </row>
    <row r="114" ht="13.5" customHeight="1">
      <c r="A114" s="211"/>
      <c r="B114" s="210"/>
      <c r="C114" s="211"/>
      <c r="D114" s="210"/>
      <c r="E114" s="210"/>
      <c r="F114" s="210"/>
      <c r="G114" s="210"/>
      <c r="H114" s="210"/>
      <c r="I114" s="210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11"/>
      <c r="AB114" s="210"/>
      <c r="AC114" s="211"/>
      <c r="AD114" s="211"/>
      <c r="AE114" s="8"/>
    </row>
    <row r="115" ht="13.5" customHeight="1">
      <c r="A115" s="211"/>
      <c r="B115" s="210"/>
      <c r="C115" s="211"/>
      <c r="D115" s="210"/>
      <c r="E115" s="210"/>
      <c r="F115" s="210"/>
      <c r="G115" s="210"/>
      <c r="H115" s="210"/>
      <c r="I115" s="210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  <c r="Z115" s="211"/>
      <c r="AA115" s="211"/>
      <c r="AB115" s="210"/>
      <c r="AC115" s="211"/>
      <c r="AD115" s="211"/>
      <c r="AE115" s="8"/>
    </row>
    <row r="116" ht="13.5" customHeight="1">
      <c r="A116" s="211"/>
      <c r="B116" s="210"/>
      <c r="C116" s="211"/>
      <c r="D116" s="210"/>
      <c r="E116" s="210"/>
      <c r="F116" s="210"/>
      <c r="G116" s="210"/>
      <c r="H116" s="210"/>
      <c r="I116" s="210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  <c r="Z116" s="211"/>
      <c r="AA116" s="211"/>
      <c r="AB116" s="210"/>
      <c r="AC116" s="211"/>
      <c r="AD116" s="211"/>
      <c r="AE116" s="8"/>
    </row>
    <row r="117" ht="13.5" customHeight="1">
      <c r="A117" s="211"/>
      <c r="B117" s="210"/>
      <c r="C117" s="211"/>
      <c r="D117" s="210"/>
      <c r="E117" s="210"/>
      <c r="F117" s="210"/>
      <c r="G117" s="210"/>
      <c r="H117" s="210"/>
      <c r="I117" s="210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  <c r="Z117" s="211"/>
      <c r="AA117" s="211"/>
      <c r="AB117" s="210"/>
      <c r="AC117" s="211"/>
      <c r="AD117" s="211"/>
      <c r="AE117" s="8"/>
    </row>
    <row r="118" ht="13.5" customHeight="1">
      <c r="A118" s="211"/>
      <c r="B118" s="210"/>
      <c r="C118" s="211"/>
      <c r="D118" s="210"/>
      <c r="E118" s="210"/>
      <c r="F118" s="210"/>
      <c r="G118" s="210"/>
      <c r="H118" s="210"/>
      <c r="I118" s="210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1"/>
      <c r="AA118" s="211"/>
      <c r="AB118" s="210"/>
      <c r="AC118" s="211"/>
      <c r="AD118" s="211"/>
      <c r="AE118" s="8"/>
    </row>
    <row r="119" ht="13.5" customHeight="1">
      <c r="A119" s="211"/>
      <c r="B119" s="210"/>
      <c r="C119" s="211"/>
      <c r="D119" s="210"/>
      <c r="E119" s="210"/>
      <c r="F119" s="210"/>
      <c r="G119" s="210"/>
      <c r="H119" s="210"/>
      <c r="I119" s="210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  <c r="Z119" s="211"/>
      <c r="AA119" s="211"/>
      <c r="AB119" s="210"/>
      <c r="AC119" s="211"/>
      <c r="AD119" s="211"/>
      <c r="AE119" s="8"/>
    </row>
    <row r="120" ht="13.5" customHeight="1">
      <c r="A120" s="211"/>
      <c r="B120" s="210"/>
      <c r="C120" s="211"/>
      <c r="D120" s="210"/>
      <c r="E120" s="210"/>
      <c r="F120" s="210"/>
      <c r="G120" s="210"/>
      <c r="H120" s="210"/>
      <c r="I120" s="210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  <c r="Z120" s="211"/>
      <c r="AA120" s="211"/>
      <c r="AB120" s="210"/>
      <c r="AC120" s="211"/>
      <c r="AD120" s="211"/>
      <c r="AE120" s="8"/>
    </row>
    <row r="121" ht="13.5" customHeight="1">
      <c r="A121" s="211"/>
      <c r="B121" s="210"/>
      <c r="C121" s="211"/>
      <c r="D121" s="210"/>
      <c r="E121" s="210"/>
      <c r="F121" s="210"/>
      <c r="G121" s="210"/>
      <c r="H121" s="210"/>
      <c r="I121" s="210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  <c r="Z121" s="211"/>
      <c r="AA121" s="211"/>
      <c r="AB121" s="210"/>
      <c r="AC121" s="211"/>
      <c r="AD121" s="211"/>
      <c r="AE121" s="8"/>
    </row>
    <row r="122" ht="13.5" customHeight="1">
      <c r="A122" s="211"/>
      <c r="B122" s="210"/>
      <c r="C122" s="211"/>
      <c r="D122" s="210"/>
      <c r="E122" s="210"/>
      <c r="F122" s="210"/>
      <c r="G122" s="210"/>
      <c r="H122" s="210"/>
      <c r="I122" s="210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  <c r="AA122" s="211"/>
      <c r="AB122" s="210"/>
      <c r="AC122" s="211"/>
      <c r="AD122" s="211"/>
      <c r="AE122" s="8"/>
    </row>
    <row r="123" ht="13.5" customHeight="1">
      <c r="A123" s="211"/>
      <c r="B123" s="210"/>
      <c r="C123" s="211"/>
      <c r="D123" s="210"/>
      <c r="E123" s="210"/>
      <c r="F123" s="210"/>
      <c r="G123" s="210"/>
      <c r="H123" s="210"/>
      <c r="I123" s="210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11"/>
      <c r="AA123" s="211"/>
      <c r="AB123" s="210"/>
      <c r="AC123" s="211"/>
      <c r="AD123" s="211"/>
      <c r="AE123" s="8"/>
    </row>
    <row r="124" ht="13.5" customHeight="1">
      <c r="A124" s="211"/>
      <c r="B124" s="210"/>
      <c r="C124" s="211"/>
      <c r="D124" s="210"/>
      <c r="E124" s="210"/>
      <c r="F124" s="210"/>
      <c r="G124" s="210"/>
      <c r="H124" s="210"/>
      <c r="I124" s="210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1"/>
      <c r="AA124" s="211"/>
      <c r="AB124" s="210"/>
      <c r="AC124" s="211"/>
      <c r="AD124" s="211"/>
      <c r="AE124" s="8"/>
    </row>
    <row r="125" ht="13.5" customHeight="1">
      <c r="A125" s="211"/>
      <c r="B125" s="210"/>
      <c r="C125" s="211"/>
      <c r="D125" s="210"/>
      <c r="E125" s="210"/>
      <c r="F125" s="210"/>
      <c r="G125" s="210"/>
      <c r="H125" s="210"/>
      <c r="I125" s="210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  <c r="Z125" s="211"/>
      <c r="AA125" s="211"/>
      <c r="AB125" s="210"/>
      <c r="AC125" s="211"/>
      <c r="AD125" s="211"/>
      <c r="AE125" s="8"/>
    </row>
    <row r="126" ht="13.5" customHeight="1">
      <c r="A126" s="211"/>
      <c r="B126" s="210"/>
      <c r="C126" s="211"/>
      <c r="D126" s="210"/>
      <c r="E126" s="210"/>
      <c r="F126" s="210"/>
      <c r="G126" s="210"/>
      <c r="H126" s="210"/>
      <c r="I126" s="210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  <c r="Z126" s="211"/>
      <c r="AA126" s="211"/>
      <c r="AB126" s="210"/>
      <c r="AC126" s="211"/>
      <c r="AD126" s="211"/>
      <c r="AE126" s="8"/>
    </row>
    <row r="127" ht="13.5" customHeight="1">
      <c r="A127" s="211"/>
      <c r="B127" s="210"/>
      <c r="C127" s="211"/>
      <c r="D127" s="210"/>
      <c r="E127" s="210"/>
      <c r="F127" s="210"/>
      <c r="G127" s="210"/>
      <c r="H127" s="210"/>
      <c r="I127" s="210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  <c r="AA127" s="211"/>
      <c r="AB127" s="210"/>
      <c r="AC127" s="211"/>
      <c r="AD127" s="211"/>
      <c r="AE127" s="8"/>
    </row>
    <row r="128" ht="13.5" customHeight="1">
      <c r="A128" s="211"/>
      <c r="B128" s="210"/>
      <c r="C128" s="211"/>
      <c r="D128" s="210"/>
      <c r="E128" s="210"/>
      <c r="F128" s="210"/>
      <c r="G128" s="210"/>
      <c r="H128" s="210"/>
      <c r="I128" s="210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  <c r="Z128" s="211"/>
      <c r="AA128" s="211"/>
      <c r="AB128" s="210"/>
      <c r="AC128" s="211"/>
      <c r="AD128" s="211"/>
      <c r="AE128" s="8"/>
    </row>
    <row r="129" ht="13.5" customHeight="1">
      <c r="A129" s="211"/>
      <c r="B129" s="210"/>
      <c r="C129" s="211"/>
      <c r="D129" s="210"/>
      <c r="E129" s="210"/>
      <c r="F129" s="210"/>
      <c r="G129" s="210"/>
      <c r="H129" s="210"/>
      <c r="I129" s="210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  <c r="Z129" s="211"/>
      <c r="AA129" s="211"/>
      <c r="AB129" s="210"/>
      <c r="AC129" s="211"/>
      <c r="AD129" s="211"/>
      <c r="AE129" s="8"/>
    </row>
    <row r="130" ht="13.5" customHeight="1">
      <c r="A130" s="211"/>
      <c r="B130" s="210"/>
      <c r="C130" s="211"/>
      <c r="D130" s="210"/>
      <c r="E130" s="210"/>
      <c r="F130" s="210"/>
      <c r="G130" s="210"/>
      <c r="H130" s="210"/>
      <c r="I130" s="210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1"/>
      <c r="AA130" s="211"/>
      <c r="AB130" s="210"/>
      <c r="AC130" s="211"/>
      <c r="AD130" s="211"/>
      <c r="AE130" s="8"/>
    </row>
    <row r="131" ht="13.5" customHeight="1">
      <c r="A131" s="211"/>
      <c r="B131" s="210"/>
      <c r="C131" s="211"/>
      <c r="D131" s="210"/>
      <c r="E131" s="210"/>
      <c r="F131" s="210"/>
      <c r="G131" s="210"/>
      <c r="H131" s="210"/>
      <c r="I131" s="210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  <c r="Z131" s="211"/>
      <c r="AA131" s="211"/>
      <c r="AB131" s="210"/>
      <c r="AC131" s="211"/>
      <c r="AD131" s="211"/>
      <c r="AE131" s="8"/>
    </row>
    <row r="132" ht="13.5" customHeight="1">
      <c r="A132" s="211"/>
      <c r="B132" s="210"/>
      <c r="C132" s="211"/>
      <c r="D132" s="210"/>
      <c r="E132" s="210"/>
      <c r="F132" s="210"/>
      <c r="G132" s="210"/>
      <c r="H132" s="210"/>
      <c r="I132" s="210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  <c r="Z132" s="211"/>
      <c r="AA132" s="211"/>
      <c r="AB132" s="210"/>
      <c r="AC132" s="211"/>
      <c r="AD132" s="211"/>
      <c r="AE132" s="8"/>
    </row>
    <row r="133" ht="13.5" customHeight="1">
      <c r="A133" s="211"/>
      <c r="B133" s="210"/>
      <c r="C133" s="211"/>
      <c r="D133" s="210"/>
      <c r="E133" s="210"/>
      <c r="F133" s="210"/>
      <c r="G133" s="210"/>
      <c r="H133" s="210"/>
      <c r="I133" s="210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  <c r="Z133" s="211"/>
      <c r="AA133" s="211"/>
      <c r="AB133" s="210"/>
      <c r="AC133" s="211"/>
      <c r="AD133" s="211"/>
      <c r="AE133" s="8"/>
    </row>
    <row r="134" ht="13.5" customHeight="1">
      <c r="A134" s="211"/>
      <c r="B134" s="210"/>
      <c r="C134" s="211"/>
      <c r="D134" s="210"/>
      <c r="E134" s="210"/>
      <c r="F134" s="210"/>
      <c r="G134" s="210"/>
      <c r="H134" s="210"/>
      <c r="I134" s="210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  <c r="Z134" s="211"/>
      <c r="AA134" s="211"/>
      <c r="AB134" s="210"/>
      <c r="AC134" s="211"/>
      <c r="AD134" s="211"/>
      <c r="AE134" s="8"/>
    </row>
    <row r="135" ht="13.5" customHeight="1">
      <c r="A135" s="211"/>
      <c r="B135" s="210"/>
      <c r="C135" s="211"/>
      <c r="D135" s="210"/>
      <c r="E135" s="210"/>
      <c r="F135" s="210"/>
      <c r="G135" s="210"/>
      <c r="H135" s="210"/>
      <c r="I135" s="210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  <c r="Z135" s="211"/>
      <c r="AA135" s="211"/>
      <c r="AB135" s="210"/>
      <c r="AC135" s="211"/>
      <c r="AD135" s="211"/>
      <c r="AE135" s="8"/>
    </row>
    <row r="136" ht="13.5" customHeight="1">
      <c r="A136" s="211"/>
      <c r="B136" s="210"/>
      <c r="C136" s="211"/>
      <c r="D136" s="210"/>
      <c r="E136" s="210"/>
      <c r="F136" s="210"/>
      <c r="G136" s="210"/>
      <c r="H136" s="210"/>
      <c r="I136" s="210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  <c r="Z136" s="211"/>
      <c r="AA136" s="211"/>
      <c r="AB136" s="210"/>
      <c r="AC136" s="211"/>
      <c r="AD136" s="211"/>
      <c r="AE136" s="8"/>
    </row>
    <row r="137" ht="13.5" customHeight="1">
      <c r="A137" s="211"/>
      <c r="B137" s="210"/>
      <c r="C137" s="211"/>
      <c r="D137" s="210"/>
      <c r="E137" s="210"/>
      <c r="F137" s="210"/>
      <c r="G137" s="210"/>
      <c r="H137" s="210"/>
      <c r="I137" s="210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  <c r="Z137" s="211"/>
      <c r="AA137" s="211"/>
      <c r="AB137" s="210"/>
      <c r="AC137" s="211"/>
      <c r="AD137" s="211"/>
      <c r="AE137" s="8"/>
    </row>
    <row r="138" ht="13.5" customHeight="1">
      <c r="A138" s="211"/>
      <c r="B138" s="210"/>
      <c r="C138" s="211"/>
      <c r="D138" s="210"/>
      <c r="E138" s="210"/>
      <c r="F138" s="210"/>
      <c r="G138" s="210"/>
      <c r="H138" s="210"/>
      <c r="I138" s="210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  <c r="Z138" s="211"/>
      <c r="AA138" s="211"/>
      <c r="AB138" s="210"/>
      <c r="AC138" s="211"/>
      <c r="AD138" s="211"/>
      <c r="AE138" s="8"/>
    </row>
    <row r="139" ht="13.5" customHeight="1">
      <c r="A139" s="211"/>
      <c r="B139" s="210"/>
      <c r="C139" s="211"/>
      <c r="D139" s="210"/>
      <c r="E139" s="210"/>
      <c r="F139" s="210"/>
      <c r="G139" s="210"/>
      <c r="H139" s="210"/>
      <c r="I139" s="210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  <c r="Z139" s="211"/>
      <c r="AA139" s="211"/>
      <c r="AB139" s="210"/>
      <c r="AC139" s="211"/>
      <c r="AD139" s="211"/>
      <c r="AE139" s="8"/>
    </row>
    <row r="140" ht="13.5" customHeight="1">
      <c r="A140" s="211"/>
      <c r="B140" s="210"/>
      <c r="C140" s="211"/>
      <c r="D140" s="210"/>
      <c r="E140" s="210"/>
      <c r="F140" s="210"/>
      <c r="G140" s="210"/>
      <c r="H140" s="210"/>
      <c r="I140" s="210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  <c r="Z140" s="211"/>
      <c r="AA140" s="211"/>
      <c r="AB140" s="210"/>
      <c r="AC140" s="211"/>
      <c r="AD140" s="211"/>
      <c r="AE140" s="8"/>
    </row>
    <row r="141" ht="13.5" customHeight="1">
      <c r="A141" s="211"/>
      <c r="B141" s="210"/>
      <c r="C141" s="211"/>
      <c r="D141" s="210"/>
      <c r="E141" s="210"/>
      <c r="F141" s="210"/>
      <c r="G141" s="210"/>
      <c r="H141" s="210"/>
      <c r="I141" s="210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  <c r="Z141" s="211"/>
      <c r="AA141" s="211"/>
      <c r="AB141" s="210"/>
      <c r="AC141" s="211"/>
      <c r="AD141" s="211"/>
      <c r="AE141" s="8"/>
    </row>
    <row r="142" ht="13.5" customHeight="1">
      <c r="A142" s="211"/>
      <c r="B142" s="210"/>
      <c r="C142" s="211"/>
      <c r="D142" s="210"/>
      <c r="E142" s="210"/>
      <c r="F142" s="210"/>
      <c r="G142" s="210"/>
      <c r="H142" s="210"/>
      <c r="I142" s="210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  <c r="Z142" s="211"/>
      <c r="AA142" s="211"/>
      <c r="AB142" s="210"/>
      <c r="AC142" s="211"/>
      <c r="AD142" s="211"/>
      <c r="AE142" s="8"/>
    </row>
    <row r="143" ht="13.5" customHeight="1">
      <c r="A143" s="211"/>
      <c r="B143" s="210"/>
      <c r="C143" s="211"/>
      <c r="D143" s="210"/>
      <c r="E143" s="210"/>
      <c r="F143" s="210"/>
      <c r="G143" s="210"/>
      <c r="H143" s="210"/>
      <c r="I143" s="210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  <c r="Z143" s="211"/>
      <c r="AA143" s="211"/>
      <c r="AB143" s="210"/>
      <c r="AC143" s="211"/>
      <c r="AD143" s="211"/>
      <c r="AE143" s="8"/>
    </row>
    <row r="144" ht="13.5" customHeight="1">
      <c r="A144" s="211"/>
      <c r="B144" s="210"/>
      <c r="C144" s="211"/>
      <c r="D144" s="210"/>
      <c r="E144" s="210"/>
      <c r="F144" s="210"/>
      <c r="G144" s="210"/>
      <c r="H144" s="210"/>
      <c r="I144" s="210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  <c r="Z144" s="211"/>
      <c r="AA144" s="211"/>
      <c r="AB144" s="210"/>
      <c r="AC144" s="211"/>
      <c r="AD144" s="211"/>
      <c r="AE144" s="8"/>
    </row>
    <row r="145" ht="13.5" customHeight="1">
      <c r="A145" s="211"/>
      <c r="B145" s="210"/>
      <c r="C145" s="211"/>
      <c r="D145" s="210"/>
      <c r="E145" s="210"/>
      <c r="F145" s="210"/>
      <c r="G145" s="210"/>
      <c r="H145" s="210"/>
      <c r="I145" s="210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  <c r="Z145" s="211"/>
      <c r="AA145" s="211"/>
      <c r="AB145" s="210"/>
      <c r="AC145" s="211"/>
      <c r="AD145" s="211"/>
      <c r="AE145" s="8"/>
    </row>
    <row r="146" ht="13.5" customHeight="1">
      <c r="A146" s="211"/>
      <c r="B146" s="210"/>
      <c r="C146" s="211"/>
      <c r="D146" s="210"/>
      <c r="E146" s="210"/>
      <c r="F146" s="210"/>
      <c r="G146" s="210"/>
      <c r="H146" s="210"/>
      <c r="I146" s="210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  <c r="Z146" s="211"/>
      <c r="AA146" s="211"/>
      <c r="AB146" s="210"/>
      <c r="AC146" s="211"/>
      <c r="AD146" s="211"/>
      <c r="AE146" s="8"/>
    </row>
    <row r="147" ht="13.5" customHeight="1">
      <c r="A147" s="211"/>
      <c r="B147" s="210"/>
      <c r="C147" s="211"/>
      <c r="D147" s="210"/>
      <c r="E147" s="210"/>
      <c r="F147" s="210"/>
      <c r="G147" s="210"/>
      <c r="H147" s="210"/>
      <c r="I147" s="210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  <c r="Z147" s="211"/>
      <c r="AA147" s="211"/>
      <c r="AB147" s="210"/>
      <c r="AC147" s="211"/>
      <c r="AD147" s="211"/>
      <c r="AE147" s="8"/>
    </row>
    <row r="148" ht="13.5" customHeight="1">
      <c r="A148" s="211"/>
      <c r="B148" s="210"/>
      <c r="C148" s="211"/>
      <c r="D148" s="210"/>
      <c r="E148" s="210"/>
      <c r="F148" s="210"/>
      <c r="G148" s="210"/>
      <c r="H148" s="210"/>
      <c r="I148" s="210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  <c r="Z148" s="211"/>
      <c r="AA148" s="211"/>
      <c r="AB148" s="210"/>
      <c r="AC148" s="211"/>
      <c r="AD148" s="211"/>
      <c r="AE148" s="8"/>
    </row>
    <row r="149" ht="13.5" customHeight="1">
      <c r="A149" s="211"/>
      <c r="B149" s="210"/>
      <c r="C149" s="211"/>
      <c r="D149" s="210"/>
      <c r="E149" s="210"/>
      <c r="F149" s="210"/>
      <c r="G149" s="210"/>
      <c r="H149" s="210"/>
      <c r="I149" s="210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  <c r="Z149" s="211"/>
      <c r="AA149" s="211"/>
      <c r="AB149" s="210"/>
      <c r="AC149" s="211"/>
      <c r="AD149" s="211"/>
      <c r="AE149" s="8"/>
    </row>
    <row r="150" ht="13.5" customHeight="1">
      <c r="A150" s="211"/>
      <c r="B150" s="210"/>
      <c r="C150" s="211"/>
      <c r="D150" s="210"/>
      <c r="E150" s="210"/>
      <c r="F150" s="210"/>
      <c r="G150" s="210"/>
      <c r="H150" s="210"/>
      <c r="I150" s="210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  <c r="Z150" s="211"/>
      <c r="AA150" s="211"/>
      <c r="AB150" s="210"/>
      <c r="AC150" s="211"/>
      <c r="AD150" s="211"/>
      <c r="AE150" s="8"/>
    </row>
    <row r="151" ht="13.5" customHeight="1">
      <c r="A151" s="211"/>
      <c r="B151" s="210"/>
      <c r="C151" s="211"/>
      <c r="D151" s="210"/>
      <c r="E151" s="210"/>
      <c r="F151" s="210"/>
      <c r="G151" s="210"/>
      <c r="H151" s="210"/>
      <c r="I151" s="210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  <c r="Z151" s="211"/>
      <c r="AA151" s="211"/>
      <c r="AB151" s="210"/>
      <c r="AC151" s="211"/>
      <c r="AD151" s="211"/>
      <c r="AE151" s="8"/>
    </row>
    <row r="152" ht="13.5" customHeight="1">
      <c r="A152" s="211"/>
      <c r="B152" s="210"/>
      <c r="C152" s="211"/>
      <c r="D152" s="210"/>
      <c r="E152" s="210"/>
      <c r="F152" s="210"/>
      <c r="G152" s="210"/>
      <c r="H152" s="210"/>
      <c r="I152" s="210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  <c r="Z152" s="211"/>
      <c r="AA152" s="211"/>
      <c r="AB152" s="210"/>
      <c r="AC152" s="211"/>
      <c r="AD152" s="211"/>
      <c r="AE152" s="8"/>
    </row>
    <row r="153" ht="13.5" customHeight="1">
      <c r="A153" s="211"/>
      <c r="B153" s="210"/>
      <c r="C153" s="211"/>
      <c r="D153" s="210"/>
      <c r="E153" s="210"/>
      <c r="F153" s="210"/>
      <c r="G153" s="210"/>
      <c r="H153" s="210"/>
      <c r="I153" s="210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  <c r="Z153" s="211"/>
      <c r="AA153" s="211"/>
      <c r="AB153" s="210"/>
      <c r="AC153" s="211"/>
      <c r="AD153" s="211"/>
      <c r="AE153" s="8"/>
    </row>
    <row r="154" ht="13.5" customHeight="1">
      <c r="A154" s="211"/>
      <c r="B154" s="210"/>
      <c r="C154" s="211"/>
      <c r="D154" s="210"/>
      <c r="E154" s="210"/>
      <c r="F154" s="210"/>
      <c r="G154" s="210"/>
      <c r="H154" s="210"/>
      <c r="I154" s="210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  <c r="Z154" s="211"/>
      <c r="AA154" s="211"/>
      <c r="AB154" s="210"/>
      <c r="AC154" s="211"/>
      <c r="AD154" s="211"/>
      <c r="AE154" s="8"/>
    </row>
    <row r="155" ht="13.5" customHeight="1">
      <c r="A155" s="211"/>
      <c r="B155" s="210"/>
      <c r="C155" s="211"/>
      <c r="D155" s="210"/>
      <c r="E155" s="210"/>
      <c r="F155" s="210"/>
      <c r="G155" s="210"/>
      <c r="H155" s="210"/>
      <c r="I155" s="210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  <c r="Z155" s="211"/>
      <c r="AA155" s="211"/>
      <c r="AB155" s="210"/>
      <c r="AC155" s="211"/>
      <c r="AD155" s="211"/>
      <c r="AE155" s="8"/>
    </row>
    <row r="156" ht="13.5" customHeight="1">
      <c r="A156" s="211"/>
      <c r="B156" s="210"/>
      <c r="C156" s="211"/>
      <c r="D156" s="210"/>
      <c r="E156" s="210"/>
      <c r="F156" s="210"/>
      <c r="G156" s="210"/>
      <c r="H156" s="210"/>
      <c r="I156" s="210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  <c r="Z156" s="211"/>
      <c r="AA156" s="211"/>
      <c r="AB156" s="210"/>
      <c r="AC156" s="211"/>
      <c r="AD156" s="211"/>
      <c r="AE156" s="8"/>
    </row>
    <row r="157" ht="13.5" customHeight="1">
      <c r="A157" s="211"/>
      <c r="B157" s="210"/>
      <c r="C157" s="211"/>
      <c r="D157" s="210"/>
      <c r="E157" s="210"/>
      <c r="F157" s="210"/>
      <c r="G157" s="210"/>
      <c r="H157" s="210"/>
      <c r="I157" s="210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  <c r="Z157" s="211"/>
      <c r="AA157" s="211"/>
      <c r="AB157" s="210"/>
      <c r="AC157" s="211"/>
      <c r="AD157" s="211"/>
      <c r="AE157" s="8"/>
    </row>
    <row r="158" ht="13.5" customHeight="1">
      <c r="A158" s="211"/>
      <c r="B158" s="210"/>
      <c r="C158" s="211"/>
      <c r="D158" s="210"/>
      <c r="E158" s="210"/>
      <c r="F158" s="210"/>
      <c r="G158" s="210"/>
      <c r="H158" s="210"/>
      <c r="I158" s="210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  <c r="Z158" s="211"/>
      <c r="AA158" s="211"/>
      <c r="AB158" s="210"/>
      <c r="AC158" s="211"/>
      <c r="AD158" s="211"/>
      <c r="AE158" s="8"/>
    </row>
    <row r="159" ht="13.5" customHeight="1">
      <c r="A159" s="211"/>
      <c r="B159" s="210"/>
      <c r="C159" s="211"/>
      <c r="D159" s="210"/>
      <c r="E159" s="210"/>
      <c r="F159" s="210"/>
      <c r="G159" s="210"/>
      <c r="H159" s="210"/>
      <c r="I159" s="210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  <c r="Z159" s="211"/>
      <c r="AA159" s="211"/>
      <c r="AB159" s="210"/>
      <c r="AC159" s="211"/>
      <c r="AD159" s="211"/>
      <c r="AE159" s="8"/>
    </row>
    <row r="160" ht="13.5" customHeight="1">
      <c r="A160" s="211"/>
      <c r="B160" s="210"/>
      <c r="C160" s="211"/>
      <c r="D160" s="210"/>
      <c r="E160" s="210"/>
      <c r="F160" s="210"/>
      <c r="G160" s="210"/>
      <c r="H160" s="210"/>
      <c r="I160" s="210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  <c r="Z160" s="211"/>
      <c r="AA160" s="211"/>
      <c r="AB160" s="210"/>
      <c r="AC160" s="211"/>
      <c r="AD160" s="211"/>
      <c r="AE160" s="8"/>
    </row>
    <row r="161" ht="13.5" customHeight="1">
      <c r="A161" s="211"/>
      <c r="B161" s="210"/>
      <c r="C161" s="211"/>
      <c r="D161" s="210"/>
      <c r="E161" s="210"/>
      <c r="F161" s="210"/>
      <c r="G161" s="210"/>
      <c r="H161" s="210"/>
      <c r="I161" s="210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  <c r="Z161" s="211"/>
      <c r="AA161" s="211"/>
      <c r="AB161" s="210"/>
      <c r="AC161" s="211"/>
      <c r="AD161" s="211"/>
      <c r="AE161" s="8"/>
    </row>
    <row r="162" ht="13.5" customHeight="1">
      <c r="A162" s="211"/>
      <c r="B162" s="210"/>
      <c r="C162" s="211"/>
      <c r="D162" s="210"/>
      <c r="E162" s="210"/>
      <c r="F162" s="210"/>
      <c r="G162" s="210"/>
      <c r="H162" s="210"/>
      <c r="I162" s="210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  <c r="Z162" s="211"/>
      <c r="AA162" s="211"/>
      <c r="AB162" s="210"/>
      <c r="AC162" s="211"/>
      <c r="AD162" s="211"/>
      <c r="AE162" s="8"/>
    </row>
    <row r="163" ht="13.5" customHeight="1">
      <c r="A163" s="211"/>
      <c r="B163" s="210"/>
      <c r="C163" s="211"/>
      <c r="D163" s="210"/>
      <c r="E163" s="210"/>
      <c r="F163" s="210"/>
      <c r="G163" s="210"/>
      <c r="H163" s="210"/>
      <c r="I163" s="210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  <c r="Z163" s="211"/>
      <c r="AA163" s="211"/>
      <c r="AB163" s="210"/>
      <c r="AC163" s="211"/>
      <c r="AD163" s="211"/>
      <c r="AE163" s="8"/>
    </row>
    <row r="164" ht="13.5" customHeight="1">
      <c r="A164" s="211"/>
      <c r="B164" s="210"/>
      <c r="C164" s="211"/>
      <c r="D164" s="210"/>
      <c r="E164" s="210"/>
      <c r="F164" s="210"/>
      <c r="G164" s="210"/>
      <c r="H164" s="210"/>
      <c r="I164" s="210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  <c r="Z164" s="211"/>
      <c r="AA164" s="211"/>
      <c r="AB164" s="210"/>
      <c r="AC164" s="211"/>
      <c r="AD164" s="211"/>
      <c r="AE164" s="8"/>
    </row>
    <row r="165" ht="13.5" customHeight="1">
      <c r="A165" s="211"/>
      <c r="B165" s="210"/>
      <c r="C165" s="211"/>
      <c r="D165" s="210"/>
      <c r="E165" s="210"/>
      <c r="F165" s="210"/>
      <c r="G165" s="210"/>
      <c r="H165" s="210"/>
      <c r="I165" s="210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  <c r="Z165" s="211"/>
      <c r="AA165" s="211"/>
      <c r="AB165" s="210"/>
      <c r="AC165" s="211"/>
      <c r="AD165" s="211"/>
      <c r="AE165" s="8"/>
    </row>
    <row r="166" ht="13.5" customHeight="1">
      <c r="A166" s="211"/>
      <c r="B166" s="210"/>
      <c r="C166" s="211"/>
      <c r="D166" s="210"/>
      <c r="E166" s="210"/>
      <c r="F166" s="210"/>
      <c r="G166" s="210"/>
      <c r="H166" s="210"/>
      <c r="I166" s="210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  <c r="Z166" s="211"/>
      <c r="AA166" s="211"/>
      <c r="AB166" s="210"/>
      <c r="AC166" s="211"/>
      <c r="AD166" s="211"/>
      <c r="AE166" s="8"/>
    </row>
    <row r="167" ht="13.5" customHeight="1">
      <c r="A167" s="211"/>
      <c r="B167" s="210"/>
      <c r="C167" s="211"/>
      <c r="D167" s="210"/>
      <c r="E167" s="210"/>
      <c r="F167" s="210"/>
      <c r="G167" s="210"/>
      <c r="H167" s="210"/>
      <c r="I167" s="210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  <c r="Z167" s="211"/>
      <c r="AA167" s="211"/>
      <c r="AB167" s="210"/>
      <c r="AC167" s="211"/>
      <c r="AD167" s="211"/>
      <c r="AE167" s="8"/>
    </row>
    <row r="168" ht="13.5" customHeight="1">
      <c r="A168" s="211"/>
      <c r="B168" s="210"/>
      <c r="C168" s="211"/>
      <c r="D168" s="210"/>
      <c r="E168" s="210"/>
      <c r="F168" s="210"/>
      <c r="G168" s="210"/>
      <c r="H168" s="210"/>
      <c r="I168" s="210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  <c r="Z168" s="211"/>
      <c r="AA168" s="211"/>
      <c r="AB168" s="210"/>
      <c r="AC168" s="211"/>
      <c r="AD168" s="211"/>
      <c r="AE168" s="8"/>
    </row>
    <row r="169" ht="13.5" customHeight="1">
      <c r="A169" s="211"/>
      <c r="B169" s="210"/>
      <c r="C169" s="211"/>
      <c r="D169" s="210"/>
      <c r="E169" s="210"/>
      <c r="F169" s="210"/>
      <c r="G169" s="210"/>
      <c r="H169" s="210"/>
      <c r="I169" s="210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  <c r="Z169" s="211"/>
      <c r="AA169" s="211"/>
      <c r="AB169" s="210"/>
      <c r="AC169" s="211"/>
      <c r="AD169" s="211"/>
      <c r="AE169" s="8"/>
    </row>
    <row r="170" ht="13.5" customHeight="1">
      <c r="A170" s="211"/>
      <c r="B170" s="210"/>
      <c r="C170" s="211"/>
      <c r="D170" s="210"/>
      <c r="E170" s="210"/>
      <c r="F170" s="210"/>
      <c r="G170" s="210"/>
      <c r="H170" s="210"/>
      <c r="I170" s="210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  <c r="Z170" s="211"/>
      <c r="AA170" s="211"/>
      <c r="AB170" s="210"/>
      <c r="AC170" s="211"/>
      <c r="AD170" s="211"/>
      <c r="AE170" s="8"/>
    </row>
    <row r="171" ht="13.5" customHeight="1">
      <c r="A171" s="211"/>
      <c r="B171" s="210"/>
      <c r="C171" s="211"/>
      <c r="D171" s="210"/>
      <c r="E171" s="210"/>
      <c r="F171" s="210"/>
      <c r="G171" s="210"/>
      <c r="H171" s="210"/>
      <c r="I171" s="210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  <c r="Z171" s="211"/>
      <c r="AA171" s="211"/>
      <c r="AB171" s="210"/>
      <c r="AC171" s="211"/>
      <c r="AD171" s="211"/>
      <c r="AE171" s="8"/>
    </row>
    <row r="172" ht="13.5" customHeight="1">
      <c r="A172" s="211"/>
      <c r="B172" s="210"/>
      <c r="C172" s="211"/>
      <c r="D172" s="210"/>
      <c r="E172" s="210"/>
      <c r="F172" s="210"/>
      <c r="G172" s="210"/>
      <c r="H172" s="210"/>
      <c r="I172" s="210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  <c r="AA172" s="211"/>
      <c r="AB172" s="210"/>
      <c r="AC172" s="211"/>
      <c r="AD172" s="211"/>
      <c r="AE172" s="8"/>
    </row>
    <row r="173" ht="13.5" customHeight="1">
      <c r="A173" s="211"/>
      <c r="B173" s="210"/>
      <c r="C173" s="211"/>
      <c r="D173" s="210"/>
      <c r="E173" s="210"/>
      <c r="F173" s="210"/>
      <c r="G173" s="210"/>
      <c r="H173" s="210"/>
      <c r="I173" s="210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  <c r="Z173" s="211"/>
      <c r="AA173" s="211"/>
      <c r="AB173" s="210"/>
      <c r="AC173" s="211"/>
      <c r="AD173" s="211"/>
      <c r="AE173" s="8"/>
    </row>
    <row r="174" ht="13.5" customHeight="1">
      <c r="A174" s="211"/>
      <c r="B174" s="210"/>
      <c r="C174" s="211"/>
      <c r="D174" s="210"/>
      <c r="E174" s="210"/>
      <c r="F174" s="210"/>
      <c r="G174" s="210"/>
      <c r="H174" s="210"/>
      <c r="I174" s="210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  <c r="Z174" s="211"/>
      <c r="AA174" s="211"/>
      <c r="AB174" s="210"/>
      <c r="AC174" s="211"/>
      <c r="AD174" s="211"/>
      <c r="AE174" s="8"/>
    </row>
    <row r="175" ht="13.5" customHeight="1">
      <c r="A175" s="211"/>
      <c r="B175" s="210"/>
      <c r="C175" s="211"/>
      <c r="D175" s="210"/>
      <c r="E175" s="210"/>
      <c r="F175" s="210"/>
      <c r="G175" s="210"/>
      <c r="H175" s="210"/>
      <c r="I175" s="210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  <c r="Z175" s="211"/>
      <c r="AA175" s="211"/>
      <c r="AB175" s="210"/>
      <c r="AC175" s="211"/>
      <c r="AD175" s="211"/>
      <c r="AE175" s="8"/>
    </row>
    <row r="176" ht="13.5" customHeight="1">
      <c r="A176" s="211"/>
      <c r="B176" s="210"/>
      <c r="C176" s="211"/>
      <c r="D176" s="210"/>
      <c r="E176" s="210"/>
      <c r="F176" s="210"/>
      <c r="G176" s="210"/>
      <c r="H176" s="210"/>
      <c r="I176" s="210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  <c r="Z176" s="211"/>
      <c r="AA176" s="211"/>
      <c r="AB176" s="210"/>
      <c r="AC176" s="211"/>
      <c r="AD176" s="211"/>
      <c r="AE176" s="8"/>
    </row>
    <row r="177" ht="13.5" customHeight="1">
      <c r="A177" s="211"/>
      <c r="B177" s="210"/>
      <c r="C177" s="211"/>
      <c r="D177" s="210"/>
      <c r="E177" s="210"/>
      <c r="F177" s="210"/>
      <c r="G177" s="210"/>
      <c r="H177" s="210"/>
      <c r="I177" s="210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  <c r="Z177" s="211"/>
      <c r="AA177" s="211"/>
      <c r="AB177" s="210"/>
      <c r="AC177" s="211"/>
      <c r="AD177" s="211"/>
      <c r="AE177" s="8"/>
    </row>
    <row r="178" ht="13.5" customHeight="1">
      <c r="A178" s="211"/>
      <c r="B178" s="210"/>
      <c r="C178" s="211"/>
      <c r="D178" s="210"/>
      <c r="E178" s="210"/>
      <c r="F178" s="210"/>
      <c r="G178" s="210"/>
      <c r="H178" s="210"/>
      <c r="I178" s="210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  <c r="Z178" s="211"/>
      <c r="AA178" s="211"/>
      <c r="AB178" s="210"/>
      <c r="AC178" s="211"/>
      <c r="AD178" s="211"/>
      <c r="AE178" s="8"/>
    </row>
    <row r="179" ht="13.5" customHeight="1">
      <c r="A179" s="211"/>
      <c r="B179" s="210"/>
      <c r="C179" s="211"/>
      <c r="D179" s="210"/>
      <c r="E179" s="210"/>
      <c r="F179" s="210"/>
      <c r="G179" s="210"/>
      <c r="H179" s="210"/>
      <c r="I179" s="210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  <c r="Z179" s="211"/>
      <c r="AA179" s="211"/>
      <c r="AB179" s="210"/>
      <c r="AC179" s="211"/>
      <c r="AD179" s="211"/>
      <c r="AE179" s="8"/>
    </row>
    <row r="180" ht="13.5" customHeight="1">
      <c r="A180" s="211"/>
      <c r="B180" s="210"/>
      <c r="C180" s="211"/>
      <c r="D180" s="210"/>
      <c r="E180" s="210"/>
      <c r="F180" s="210"/>
      <c r="G180" s="210"/>
      <c r="H180" s="210"/>
      <c r="I180" s="210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  <c r="Z180" s="211"/>
      <c r="AA180" s="211"/>
      <c r="AB180" s="210"/>
      <c r="AC180" s="211"/>
      <c r="AD180" s="211"/>
      <c r="AE180" s="8"/>
    </row>
    <row r="181" ht="13.5" customHeight="1">
      <c r="A181" s="211"/>
      <c r="B181" s="210"/>
      <c r="C181" s="211"/>
      <c r="D181" s="210"/>
      <c r="E181" s="210"/>
      <c r="F181" s="210"/>
      <c r="G181" s="210"/>
      <c r="H181" s="210"/>
      <c r="I181" s="210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  <c r="Z181" s="211"/>
      <c r="AA181" s="211"/>
      <c r="AB181" s="210"/>
      <c r="AC181" s="211"/>
      <c r="AD181" s="211"/>
      <c r="AE181" s="8"/>
    </row>
    <row r="182" ht="13.5" customHeight="1">
      <c r="A182" s="211"/>
      <c r="B182" s="210"/>
      <c r="C182" s="211"/>
      <c r="D182" s="210"/>
      <c r="E182" s="210"/>
      <c r="F182" s="210"/>
      <c r="G182" s="210"/>
      <c r="H182" s="210"/>
      <c r="I182" s="210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  <c r="Z182" s="211"/>
      <c r="AA182" s="211"/>
      <c r="AB182" s="210"/>
      <c r="AC182" s="211"/>
      <c r="AD182" s="211"/>
      <c r="AE182" s="8"/>
    </row>
    <row r="183" ht="13.5" customHeight="1">
      <c r="A183" s="211"/>
      <c r="B183" s="210"/>
      <c r="C183" s="211"/>
      <c r="D183" s="210"/>
      <c r="E183" s="210"/>
      <c r="F183" s="210"/>
      <c r="G183" s="210"/>
      <c r="H183" s="210"/>
      <c r="I183" s="210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  <c r="Z183" s="211"/>
      <c r="AA183" s="211"/>
      <c r="AB183" s="210"/>
      <c r="AC183" s="211"/>
      <c r="AD183" s="211"/>
      <c r="AE183" s="8"/>
    </row>
    <row r="184" ht="13.5" customHeight="1">
      <c r="A184" s="211"/>
      <c r="B184" s="210"/>
      <c r="C184" s="211"/>
      <c r="D184" s="210"/>
      <c r="E184" s="210"/>
      <c r="F184" s="210"/>
      <c r="G184" s="210"/>
      <c r="H184" s="210"/>
      <c r="I184" s="210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  <c r="Z184" s="211"/>
      <c r="AA184" s="211"/>
      <c r="AB184" s="210"/>
      <c r="AC184" s="211"/>
      <c r="AD184" s="211"/>
      <c r="AE184" s="8"/>
    </row>
    <row r="185" ht="13.5" customHeight="1">
      <c r="A185" s="211"/>
      <c r="B185" s="210"/>
      <c r="C185" s="211"/>
      <c r="D185" s="210"/>
      <c r="E185" s="210"/>
      <c r="F185" s="210"/>
      <c r="G185" s="210"/>
      <c r="H185" s="210"/>
      <c r="I185" s="210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  <c r="Z185" s="211"/>
      <c r="AA185" s="211"/>
      <c r="AB185" s="210"/>
      <c r="AC185" s="211"/>
      <c r="AD185" s="211"/>
      <c r="AE185" s="8"/>
    </row>
    <row r="186" ht="13.5" customHeight="1">
      <c r="A186" s="211"/>
      <c r="B186" s="210"/>
      <c r="C186" s="211"/>
      <c r="D186" s="210"/>
      <c r="E186" s="210"/>
      <c r="F186" s="210"/>
      <c r="G186" s="210"/>
      <c r="H186" s="210"/>
      <c r="I186" s="210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  <c r="Z186" s="211"/>
      <c r="AA186" s="211"/>
      <c r="AB186" s="210"/>
      <c r="AC186" s="211"/>
      <c r="AD186" s="211"/>
      <c r="AE186" s="8"/>
    </row>
    <row r="187" ht="13.5" customHeight="1">
      <c r="A187" s="211"/>
      <c r="B187" s="210"/>
      <c r="C187" s="211"/>
      <c r="D187" s="210"/>
      <c r="E187" s="210"/>
      <c r="F187" s="210"/>
      <c r="G187" s="210"/>
      <c r="H187" s="210"/>
      <c r="I187" s="210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  <c r="Z187" s="211"/>
      <c r="AA187" s="211"/>
      <c r="AB187" s="210"/>
      <c r="AC187" s="211"/>
      <c r="AD187" s="211"/>
      <c r="AE187" s="8"/>
    </row>
    <row r="188" ht="13.5" customHeight="1">
      <c r="A188" s="211"/>
      <c r="B188" s="210"/>
      <c r="C188" s="211"/>
      <c r="D188" s="210"/>
      <c r="E188" s="210"/>
      <c r="F188" s="210"/>
      <c r="G188" s="210"/>
      <c r="H188" s="210"/>
      <c r="I188" s="210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  <c r="Z188" s="211"/>
      <c r="AA188" s="211"/>
      <c r="AB188" s="210"/>
      <c r="AC188" s="211"/>
      <c r="AD188" s="211"/>
      <c r="AE188" s="8"/>
    </row>
    <row r="189" ht="13.5" customHeight="1">
      <c r="A189" s="211"/>
      <c r="B189" s="210"/>
      <c r="C189" s="211"/>
      <c r="D189" s="210"/>
      <c r="E189" s="210"/>
      <c r="F189" s="210"/>
      <c r="G189" s="210"/>
      <c r="H189" s="210"/>
      <c r="I189" s="210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  <c r="Z189" s="211"/>
      <c r="AA189" s="211"/>
      <c r="AB189" s="210"/>
      <c r="AC189" s="211"/>
      <c r="AD189" s="211"/>
      <c r="AE189" s="8"/>
    </row>
    <row r="190" ht="13.5" customHeight="1">
      <c r="A190" s="211"/>
      <c r="B190" s="210"/>
      <c r="C190" s="211"/>
      <c r="D190" s="210"/>
      <c r="E190" s="210"/>
      <c r="F190" s="210"/>
      <c r="G190" s="210"/>
      <c r="H190" s="210"/>
      <c r="I190" s="210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  <c r="Z190" s="211"/>
      <c r="AA190" s="211"/>
      <c r="AB190" s="210"/>
      <c r="AC190" s="211"/>
      <c r="AD190" s="211"/>
      <c r="AE190" s="8"/>
    </row>
    <row r="191" ht="13.5" customHeight="1">
      <c r="A191" s="211"/>
      <c r="B191" s="210"/>
      <c r="C191" s="211"/>
      <c r="D191" s="210"/>
      <c r="E191" s="210"/>
      <c r="F191" s="210"/>
      <c r="G191" s="210"/>
      <c r="H191" s="210"/>
      <c r="I191" s="210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  <c r="Z191" s="211"/>
      <c r="AA191" s="211"/>
      <c r="AB191" s="210"/>
      <c r="AC191" s="211"/>
      <c r="AD191" s="211"/>
      <c r="AE191" s="8"/>
    </row>
    <row r="192" ht="13.5" customHeight="1">
      <c r="A192" s="211"/>
      <c r="B192" s="210"/>
      <c r="C192" s="211"/>
      <c r="D192" s="210"/>
      <c r="E192" s="210"/>
      <c r="F192" s="210"/>
      <c r="G192" s="210"/>
      <c r="H192" s="210"/>
      <c r="I192" s="210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  <c r="Z192" s="211"/>
      <c r="AA192" s="211"/>
      <c r="AB192" s="210"/>
      <c r="AC192" s="211"/>
      <c r="AD192" s="211"/>
      <c r="AE192" s="8"/>
    </row>
    <row r="193" ht="13.5" customHeight="1">
      <c r="A193" s="211"/>
      <c r="B193" s="210"/>
      <c r="C193" s="211"/>
      <c r="D193" s="210"/>
      <c r="E193" s="210"/>
      <c r="F193" s="210"/>
      <c r="G193" s="210"/>
      <c r="H193" s="210"/>
      <c r="I193" s="210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  <c r="Z193" s="211"/>
      <c r="AA193" s="211"/>
      <c r="AB193" s="210"/>
      <c r="AC193" s="211"/>
      <c r="AD193" s="211"/>
      <c r="AE193" s="8"/>
    </row>
    <row r="194" ht="13.5" customHeight="1">
      <c r="A194" s="211"/>
      <c r="B194" s="210"/>
      <c r="C194" s="211"/>
      <c r="D194" s="210"/>
      <c r="E194" s="210"/>
      <c r="F194" s="210"/>
      <c r="G194" s="210"/>
      <c r="H194" s="210"/>
      <c r="I194" s="210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  <c r="Z194" s="211"/>
      <c r="AA194" s="211"/>
      <c r="AB194" s="210"/>
      <c r="AC194" s="211"/>
      <c r="AD194" s="211"/>
      <c r="AE194" s="8"/>
    </row>
    <row r="195" ht="13.5" customHeight="1">
      <c r="A195" s="211"/>
      <c r="B195" s="210"/>
      <c r="C195" s="211"/>
      <c r="D195" s="210"/>
      <c r="E195" s="210"/>
      <c r="F195" s="210"/>
      <c r="G195" s="210"/>
      <c r="H195" s="210"/>
      <c r="I195" s="210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  <c r="Z195" s="211"/>
      <c r="AA195" s="211"/>
      <c r="AB195" s="210"/>
      <c r="AC195" s="211"/>
      <c r="AD195" s="211"/>
      <c r="AE195" s="8"/>
    </row>
    <row r="196" ht="13.5" customHeight="1">
      <c r="A196" s="211"/>
      <c r="B196" s="210"/>
      <c r="C196" s="211"/>
      <c r="D196" s="210"/>
      <c r="E196" s="210"/>
      <c r="F196" s="210"/>
      <c r="G196" s="210"/>
      <c r="H196" s="210"/>
      <c r="I196" s="210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  <c r="Z196" s="211"/>
      <c r="AA196" s="211"/>
      <c r="AB196" s="210"/>
      <c r="AC196" s="211"/>
      <c r="AD196" s="211"/>
      <c r="AE196" s="8"/>
    </row>
    <row r="197" ht="13.5" customHeight="1">
      <c r="A197" s="211"/>
      <c r="B197" s="210"/>
      <c r="C197" s="211"/>
      <c r="D197" s="210"/>
      <c r="E197" s="210"/>
      <c r="F197" s="210"/>
      <c r="G197" s="210"/>
      <c r="H197" s="210"/>
      <c r="I197" s="210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  <c r="Z197" s="211"/>
      <c r="AA197" s="211"/>
      <c r="AB197" s="210"/>
      <c r="AC197" s="211"/>
      <c r="AD197" s="211"/>
      <c r="AE197" s="8"/>
    </row>
    <row r="198" ht="13.5" customHeight="1">
      <c r="A198" s="211"/>
      <c r="B198" s="210"/>
      <c r="C198" s="211"/>
      <c r="D198" s="210"/>
      <c r="E198" s="210"/>
      <c r="F198" s="210"/>
      <c r="G198" s="210"/>
      <c r="H198" s="210"/>
      <c r="I198" s="210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  <c r="Z198" s="211"/>
      <c r="AA198" s="211"/>
      <c r="AB198" s="210"/>
      <c r="AC198" s="211"/>
      <c r="AD198" s="211"/>
      <c r="AE198" s="8"/>
    </row>
    <row r="199" ht="13.5" customHeight="1">
      <c r="A199" s="211"/>
      <c r="B199" s="210"/>
      <c r="C199" s="211"/>
      <c r="D199" s="210"/>
      <c r="E199" s="210"/>
      <c r="F199" s="210"/>
      <c r="G199" s="210"/>
      <c r="H199" s="210"/>
      <c r="I199" s="210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  <c r="Z199" s="211"/>
      <c r="AA199" s="211"/>
      <c r="AB199" s="210"/>
      <c r="AC199" s="211"/>
      <c r="AD199" s="211"/>
      <c r="AE199" s="8"/>
    </row>
    <row r="200" ht="13.5" customHeight="1">
      <c r="A200" s="211"/>
      <c r="B200" s="210"/>
      <c r="C200" s="211"/>
      <c r="D200" s="210"/>
      <c r="E200" s="210"/>
      <c r="F200" s="210"/>
      <c r="G200" s="210"/>
      <c r="H200" s="210"/>
      <c r="I200" s="210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  <c r="Z200" s="211"/>
      <c r="AA200" s="211"/>
      <c r="AB200" s="210"/>
      <c r="AC200" s="211"/>
      <c r="AD200" s="211"/>
      <c r="AE200" s="8"/>
    </row>
    <row r="201" ht="13.5" customHeight="1">
      <c r="A201" s="211"/>
      <c r="B201" s="210"/>
      <c r="C201" s="211"/>
      <c r="D201" s="210"/>
      <c r="E201" s="210"/>
      <c r="F201" s="210"/>
      <c r="G201" s="210"/>
      <c r="H201" s="210"/>
      <c r="I201" s="210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  <c r="AA201" s="211"/>
      <c r="AB201" s="210"/>
      <c r="AC201" s="211"/>
      <c r="AD201" s="211"/>
      <c r="AE201" s="8"/>
    </row>
    <row r="202" ht="13.5" customHeight="1">
      <c r="A202" s="211"/>
      <c r="B202" s="210"/>
      <c r="C202" s="211"/>
      <c r="D202" s="210"/>
      <c r="E202" s="210"/>
      <c r="F202" s="210"/>
      <c r="G202" s="210"/>
      <c r="H202" s="210"/>
      <c r="I202" s="210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  <c r="Z202" s="211"/>
      <c r="AA202" s="211"/>
      <c r="AB202" s="210"/>
      <c r="AC202" s="211"/>
      <c r="AD202" s="211"/>
      <c r="AE202" s="8"/>
    </row>
    <row r="203" ht="13.5" customHeight="1">
      <c r="A203" s="211"/>
      <c r="B203" s="210"/>
      <c r="C203" s="211"/>
      <c r="D203" s="210"/>
      <c r="E203" s="210"/>
      <c r="F203" s="210"/>
      <c r="G203" s="210"/>
      <c r="H203" s="210"/>
      <c r="I203" s="210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  <c r="Z203" s="211"/>
      <c r="AA203" s="211"/>
      <c r="AB203" s="210"/>
      <c r="AC203" s="211"/>
      <c r="AD203" s="211"/>
      <c r="AE203" s="8"/>
    </row>
    <row r="204" ht="13.5" customHeight="1">
      <c r="A204" s="211"/>
      <c r="B204" s="210"/>
      <c r="C204" s="211"/>
      <c r="D204" s="210"/>
      <c r="E204" s="210"/>
      <c r="F204" s="210"/>
      <c r="G204" s="210"/>
      <c r="H204" s="210"/>
      <c r="I204" s="210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  <c r="Z204" s="211"/>
      <c r="AA204" s="211"/>
      <c r="AB204" s="210"/>
      <c r="AC204" s="211"/>
      <c r="AD204" s="211"/>
      <c r="AE204" s="8"/>
    </row>
    <row r="205" ht="13.5" customHeight="1">
      <c r="A205" s="211"/>
      <c r="B205" s="210"/>
      <c r="C205" s="211"/>
      <c r="D205" s="210"/>
      <c r="E205" s="210"/>
      <c r="F205" s="210"/>
      <c r="G205" s="210"/>
      <c r="H205" s="210"/>
      <c r="I205" s="210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  <c r="Z205" s="211"/>
      <c r="AA205" s="211"/>
      <c r="AB205" s="210"/>
      <c r="AC205" s="211"/>
      <c r="AD205" s="211"/>
      <c r="AE205" s="8"/>
    </row>
    <row r="206" ht="13.5" customHeight="1">
      <c r="A206" s="211"/>
      <c r="B206" s="210"/>
      <c r="C206" s="211"/>
      <c r="D206" s="210"/>
      <c r="E206" s="210"/>
      <c r="F206" s="210"/>
      <c r="G206" s="210"/>
      <c r="H206" s="210"/>
      <c r="I206" s="210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  <c r="Z206" s="211"/>
      <c r="AA206" s="211"/>
      <c r="AB206" s="210"/>
      <c r="AC206" s="211"/>
      <c r="AD206" s="211"/>
      <c r="AE206" s="8"/>
    </row>
    <row r="207" ht="13.5" customHeight="1">
      <c r="A207" s="211"/>
      <c r="B207" s="210"/>
      <c r="C207" s="211"/>
      <c r="D207" s="210"/>
      <c r="E207" s="210"/>
      <c r="F207" s="210"/>
      <c r="G207" s="210"/>
      <c r="H207" s="210"/>
      <c r="I207" s="210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  <c r="Z207" s="211"/>
      <c r="AA207" s="211"/>
      <c r="AB207" s="210"/>
      <c r="AC207" s="211"/>
      <c r="AD207" s="211"/>
      <c r="AE207" s="8"/>
    </row>
    <row r="208" ht="13.5" customHeight="1">
      <c r="A208" s="211"/>
      <c r="B208" s="210"/>
      <c r="C208" s="211"/>
      <c r="D208" s="210"/>
      <c r="E208" s="210"/>
      <c r="F208" s="210"/>
      <c r="G208" s="210"/>
      <c r="H208" s="210"/>
      <c r="I208" s="210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  <c r="Z208" s="211"/>
      <c r="AA208" s="211"/>
      <c r="AB208" s="210"/>
      <c r="AC208" s="211"/>
      <c r="AD208" s="211"/>
      <c r="AE208" s="8"/>
    </row>
    <row r="209" ht="13.5" customHeight="1">
      <c r="A209" s="211"/>
      <c r="B209" s="210"/>
      <c r="C209" s="211"/>
      <c r="D209" s="210"/>
      <c r="E209" s="210"/>
      <c r="F209" s="210"/>
      <c r="G209" s="210"/>
      <c r="H209" s="210"/>
      <c r="I209" s="210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  <c r="Z209" s="211"/>
      <c r="AA209" s="211"/>
      <c r="AB209" s="210"/>
      <c r="AC209" s="211"/>
      <c r="AD209" s="211"/>
      <c r="AE209" s="8"/>
    </row>
    <row r="210" ht="13.5" customHeight="1">
      <c r="A210" s="211"/>
      <c r="B210" s="210"/>
      <c r="C210" s="211"/>
      <c r="D210" s="210"/>
      <c r="E210" s="210"/>
      <c r="F210" s="210"/>
      <c r="G210" s="210"/>
      <c r="H210" s="210"/>
      <c r="I210" s="210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  <c r="Z210" s="211"/>
      <c r="AA210" s="211"/>
      <c r="AB210" s="210"/>
      <c r="AC210" s="211"/>
      <c r="AD210" s="211"/>
      <c r="AE210" s="8"/>
    </row>
    <row r="211" ht="13.5" customHeight="1">
      <c r="A211" s="211"/>
      <c r="B211" s="210"/>
      <c r="C211" s="211"/>
      <c r="D211" s="210"/>
      <c r="E211" s="210"/>
      <c r="F211" s="210"/>
      <c r="G211" s="210"/>
      <c r="H211" s="210"/>
      <c r="I211" s="210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  <c r="AA211" s="211"/>
      <c r="AB211" s="210"/>
      <c r="AC211" s="211"/>
      <c r="AD211" s="211"/>
      <c r="AE211" s="8"/>
    </row>
    <row r="212" ht="13.5" customHeight="1">
      <c r="A212" s="211"/>
      <c r="B212" s="210"/>
      <c r="C212" s="211"/>
      <c r="D212" s="210"/>
      <c r="E212" s="210"/>
      <c r="F212" s="210"/>
      <c r="G212" s="210"/>
      <c r="H212" s="210"/>
      <c r="I212" s="210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  <c r="AA212" s="211"/>
      <c r="AB212" s="210"/>
      <c r="AC212" s="211"/>
      <c r="AD212" s="211"/>
      <c r="AE212" s="8"/>
    </row>
    <row r="213" ht="13.5" customHeight="1">
      <c r="A213" s="211"/>
      <c r="B213" s="210"/>
      <c r="C213" s="211"/>
      <c r="D213" s="210"/>
      <c r="E213" s="210"/>
      <c r="F213" s="210"/>
      <c r="G213" s="210"/>
      <c r="H213" s="210"/>
      <c r="I213" s="210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  <c r="AA213" s="211"/>
      <c r="AB213" s="210"/>
      <c r="AC213" s="211"/>
      <c r="AD213" s="211"/>
      <c r="AE213" s="8"/>
    </row>
    <row r="214" ht="13.5" customHeight="1">
      <c r="A214" s="211"/>
      <c r="B214" s="210"/>
      <c r="C214" s="211"/>
      <c r="D214" s="210"/>
      <c r="E214" s="210"/>
      <c r="F214" s="210"/>
      <c r="G214" s="210"/>
      <c r="H214" s="210"/>
      <c r="I214" s="210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  <c r="AA214" s="211"/>
      <c r="AB214" s="210"/>
      <c r="AC214" s="211"/>
      <c r="AD214" s="211"/>
      <c r="AE214" s="8"/>
    </row>
    <row r="215" ht="13.5" customHeight="1">
      <c r="A215" s="211"/>
      <c r="B215" s="210"/>
      <c r="C215" s="211"/>
      <c r="D215" s="210"/>
      <c r="E215" s="210"/>
      <c r="F215" s="210"/>
      <c r="G215" s="210"/>
      <c r="H215" s="210"/>
      <c r="I215" s="210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  <c r="AA215" s="211"/>
      <c r="AB215" s="210"/>
      <c r="AC215" s="211"/>
      <c r="AD215" s="211"/>
      <c r="AE215" s="8"/>
    </row>
    <row r="216" ht="13.5" customHeight="1">
      <c r="A216" s="211"/>
      <c r="B216" s="210"/>
      <c r="C216" s="211"/>
      <c r="D216" s="210"/>
      <c r="E216" s="210"/>
      <c r="F216" s="210"/>
      <c r="G216" s="210"/>
      <c r="H216" s="210"/>
      <c r="I216" s="210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  <c r="Z216" s="211"/>
      <c r="AA216" s="211"/>
      <c r="AB216" s="210"/>
      <c r="AC216" s="211"/>
      <c r="AD216" s="211"/>
      <c r="AE216" s="8"/>
    </row>
    <row r="217" ht="13.5" customHeight="1">
      <c r="A217" s="211"/>
      <c r="B217" s="210"/>
      <c r="C217" s="211"/>
      <c r="D217" s="210"/>
      <c r="E217" s="210"/>
      <c r="F217" s="210"/>
      <c r="G217" s="210"/>
      <c r="H217" s="210"/>
      <c r="I217" s="210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211"/>
      <c r="AA217" s="211"/>
      <c r="AB217" s="210"/>
      <c r="AC217" s="211"/>
      <c r="AD217" s="211"/>
      <c r="AE217" s="8"/>
    </row>
    <row r="218" ht="13.5" customHeight="1">
      <c r="A218" s="211"/>
      <c r="B218" s="210"/>
      <c r="C218" s="211"/>
      <c r="D218" s="210"/>
      <c r="E218" s="210"/>
      <c r="F218" s="210"/>
      <c r="G218" s="210"/>
      <c r="H218" s="210"/>
      <c r="I218" s="210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  <c r="AA218" s="211"/>
      <c r="AB218" s="210"/>
      <c r="AC218" s="211"/>
      <c r="AD218" s="211"/>
      <c r="AE218" s="8"/>
    </row>
    <row r="219" ht="13.5" customHeight="1">
      <c r="A219" s="211"/>
      <c r="B219" s="210"/>
      <c r="C219" s="211"/>
      <c r="D219" s="210"/>
      <c r="E219" s="210"/>
      <c r="F219" s="210"/>
      <c r="G219" s="210"/>
      <c r="H219" s="210"/>
      <c r="I219" s="210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211"/>
      <c r="AA219" s="211"/>
      <c r="AB219" s="210"/>
      <c r="AC219" s="211"/>
      <c r="AD219" s="211"/>
      <c r="AE219" s="8"/>
    </row>
    <row r="220" ht="13.5" customHeight="1">
      <c r="A220" s="211"/>
      <c r="B220" s="210"/>
      <c r="C220" s="211"/>
      <c r="D220" s="210"/>
      <c r="E220" s="210"/>
      <c r="F220" s="210"/>
      <c r="G220" s="210"/>
      <c r="H220" s="210"/>
      <c r="I220" s="210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  <c r="AB220" s="210"/>
      <c r="AC220" s="211"/>
      <c r="AD220" s="211"/>
      <c r="AE220" s="8"/>
    </row>
    <row r="221" ht="13.5" customHeight="1">
      <c r="A221" s="211"/>
      <c r="B221" s="210"/>
      <c r="C221" s="211"/>
      <c r="D221" s="210"/>
      <c r="E221" s="210"/>
      <c r="F221" s="210"/>
      <c r="G221" s="210"/>
      <c r="H221" s="210"/>
      <c r="I221" s="210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  <c r="Z221" s="211"/>
      <c r="AA221" s="211"/>
      <c r="AB221" s="210"/>
      <c r="AC221" s="211"/>
      <c r="AD221" s="211"/>
      <c r="AE221" s="8"/>
    </row>
    <row r="222" ht="13.5" customHeight="1">
      <c r="A222" s="211"/>
      <c r="B222" s="210"/>
      <c r="C222" s="211"/>
      <c r="D222" s="210"/>
      <c r="E222" s="210"/>
      <c r="F222" s="210"/>
      <c r="G222" s="210"/>
      <c r="H222" s="210"/>
      <c r="I222" s="210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0"/>
      <c r="AC222" s="211"/>
      <c r="AD222" s="211"/>
      <c r="AE222" s="8"/>
    </row>
    <row r="223" ht="13.5" customHeight="1">
      <c r="A223" s="211"/>
      <c r="B223" s="210"/>
      <c r="C223" s="211"/>
      <c r="D223" s="210"/>
      <c r="E223" s="210"/>
      <c r="F223" s="210"/>
      <c r="G223" s="210"/>
      <c r="H223" s="210"/>
      <c r="I223" s="210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  <c r="Z223" s="211"/>
      <c r="AA223" s="211"/>
      <c r="AB223" s="210"/>
      <c r="AC223" s="211"/>
      <c r="AD223" s="211"/>
      <c r="AE223" s="8"/>
    </row>
    <row r="224" ht="13.5" customHeight="1">
      <c r="A224" s="211"/>
      <c r="B224" s="210"/>
      <c r="C224" s="211"/>
      <c r="D224" s="210"/>
      <c r="E224" s="210"/>
      <c r="F224" s="210"/>
      <c r="G224" s="210"/>
      <c r="H224" s="210"/>
      <c r="I224" s="210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  <c r="Z224" s="211"/>
      <c r="AA224" s="211"/>
      <c r="AB224" s="210"/>
      <c r="AC224" s="211"/>
      <c r="AD224" s="211"/>
      <c r="AE224" s="8"/>
    </row>
    <row r="225" ht="13.5" customHeight="1">
      <c r="A225" s="211"/>
      <c r="B225" s="210"/>
      <c r="C225" s="211"/>
      <c r="D225" s="210"/>
      <c r="E225" s="210"/>
      <c r="F225" s="210"/>
      <c r="G225" s="210"/>
      <c r="H225" s="210"/>
      <c r="I225" s="210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  <c r="Z225" s="211"/>
      <c r="AA225" s="211"/>
      <c r="AB225" s="210"/>
      <c r="AC225" s="211"/>
      <c r="AD225" s="211"/>
      <c r="AE225" s="8"/>
    </row>
    <row r="226" ht="13.5" customHeight="1">
      <c r="A226" s="8"/>
      <c r="B226" s="278"/>
      <c r="C226" s="8"/>
      <c r="D226" s="278"/>
      <c r="E226" s="278"/>
      <c r="F226" s="278"/>
      <c r="G226" s="278"/>
      <c r="H226" s="278"/>
      <c r="I226" s="27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278"/>
      <c r="AC226" s="8"/>
      <c r="AD226" s="8"/>
      <c r="AE226" s="8"/>
    </row>
    <row r="227" ht="13.5" customHeight="1">
      <c r="A227" s="8"/>
      <c r="B227" s="278"/>
      <c r="C227" s="8"/>
      <c r="D227" s="278"/>
      <c r="E227" s="278"/>
      <c r="F227" s="278"/>
      <c r="G227" s="278"/>
      <c r="H227" s="278"/>
      <c r="I227" s="27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278"/>
      <c r="AC227" s="8"/>
      <c r="AD227" s="8"/>
      <c r="AE227" s="8"/>
    </row>
    <row r="228" ht="13.5" customHeight="1">
      <c r="A228" s="8"/>
      <c r="B228" s="278"/>
      <c r="C228" s="8"/>
      <c r="D228" s="278"/>
      <c r="E228" s="278"/>
      <c r="F228" s="278"/>
      <c r="G228" s="278"/>
      <c r="H228" s="278"/>
      <c r="I228" s="27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278"/>
      <c r="AC228" s="8"/>
      <c r="AD228" s="8"/>
      <c r="AE228" s="8"/>
    </row>
    <row r="229" ht="13.5" customHeight="1">
      <c r="A229" s="8"/>
      <c r="B229" s="278"/>
      <c r="C229" s="8"/>
      <c r="D229" s="278"/>
      <c r="E229" s="278"/>
      <c r="F229" s="278"/>
      <c r="G229" s="278"/>
      <c r="H229" s="278"/>
      <c r="I229" s="27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278"/>
      <c r="AC229" s="8"/>
      <c r="AD229" s="8"/>
      <c r="AE229" s="8"/>
    </row>
    <row r="230" ht="13.5" customHeight="1">
      <c r="A230" s="8"/>
      <c r="B230" s="278"/>
      <c r="C230" s="8"/>
      <c r="D230" s="278"/>
      <c r="E230" s="278"/>
      <c r="F230" s="278"/>
      <c r="G230" s="278"/>
      <c r="H230" s="278"/>
      <c r="I230" s="27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278"/>
      <c r="AC230" s="8"/>
      <c r="AD230" s="8"/>
      <c r="AE230" s="8"/>
    </row>
    <row r="231" ht="13.5" customHeight="1">
      <c r="A231" s="8"/>
      <c r="B231" s="278"/>
      <c r="C231" s="8"/>
      <c r="D231" s="278"/>
      <c r="E231" s="278"/>
      <c r="F231" s="278"/>
      <c r="G231" s="278"/>
      <c r="H231" s="278"/>
      <c r="I231" s="27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278"/>
      <c r="AC231" s="8"/>
      <c r="AD231" s="8"/>
      <c r="AE231" s="8"/>
    </row>
    <row r="232" ht="13.5" customHeight="1">
      <c r="A232" s="8"/>
      <c r="B232" s="278"/>
      <c r="C232" s="8"/>
      <c r="D232" s="278"/>
      <c r="E232" s="278"/>
      <c r="F232" s="278"/>
      <c r="G232" s="278"/>
      <c r="H232" s="278"/>
      <c r="I232" s="27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278"/>
      <c r="AC232" s="8"/>
      <c r="AD232" s="8"/>
      <c r="AE232" s="8"/>
    </row>
    <row r="233" ht="13.5" customHeight="1">
      <c r="A233" s="8"/>
      <c r="B233" s="278"/>
      <c r="C233" s="8"/>
      <c r="D233" s="278"/>
      <c r="E233" s="278"/>
      <c r="F233" s="278"/>
      <c r="G233" s="278"/>
      <c r="H233" s="278"/>
      <c r="I233" s="27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278"/>
      <c r="AC233" s="8"/>
      <c r="AD233" s="8"/>
      <c r="AE233" s="8"/>
    </row>
    <row r="234" ht="13.5" customHeight="1">
      <c r="A234" s="8"/>
      <c r="B234" s="278"/>
      <c r="C234" s="8"/>
      <c r="D234" s="278"/>
      <c r="E234" s="278"/>
      <c r="F234" s="278"/>
      <c r="G234" s="278"/>
      <c r="H234" s="278"/>
      <c r="I234" s="27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278"/>
      <c r="AC234" s="8"/>
      <c r="AD234" s="8"/>
      <c r="AE234" s="8"/>
    </row>
    <row r="235" ht="13.5" customHeight="1">
      <c r="A235" s="8"/>
      <c r="B235" s="278"/>
      <c r="C235" s="8"/>
      <c r="D235" s="278"/>
      <c r="E235" s="278"/>
      <c r="F235" s="278"/>
      <c r="G235" s="278"/>
      <c r="H235" s="278"/>
      <c r="I235" s="27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278"/>
      <c r="AC235" s="8"/>
      <c r="AD235" s="8"/>
      <c r="AE235" s="8"/>
    </row>
    <row r="236" ht="13.5" customHeight="1">
      <c r="A236" s="8"/>
      <c r="B236" s="278"/>
      <c r="C236" s="8"/>
      <c r="D236" s="278"/>
      <c r="E236" s="278"/>
      <c r="F236" s="278"/>
      <c r="G236" s="278"/>
      <c r="H236" s="278"/>
      <c r="I236" s="27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278"/>
      <c r="AC236" s="8"/>
      <c r="AD236" s="8"/>
      <c r="AE236" s="8"/>
    </row>
    <row r="237" ht="13.5" customHeight="1">
      <c r="A237" s="8"/>
      <c r="B237" s="278"/>
      <c r="C237" s="8"/>
      <c r="D237" s="278"/>
      <c r="E237" s="278"/>
      <c r="F237" s="278"/>
      <c r="G237" s="278"/>
      <c r="H237" s="278"/>
      <c r="I237" s="27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278"/>
      <c r="AC237" s="8"/>
      <c r="AD237" s="8"/>
      <c r="AE237" s="8"/>
    </row>
    <row r="238" ht="13.5" customHeight="1">
      <c r="A238" s="8"/>
      <c r="B238" s="278"/>
      <c r="C238" s="8"/>
      <c r="D238" s="278"/>
      <c r="E238" s="278"/>
      <c r="F238" s="278"/>
      <c r="G238" s="278"/>
      <c r="H238" s="278"/>
      <c r="I238" s="27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278"/>
      <c r="AC238" s="8"/>
      <c r="AD238" s="8"/>
      <c r="AE238" s="8"/>
    </row>
    <row r="239" ht="13.5" customHeight="1">
      <c r="A239" s="8"/>
      <c r="B239" s="278"/>
      <c r="C239" s="8"/>
      <c r="D239" s="278"/>
      <c r="E239" s="278"/>
      <c r="F239" s="278"/>
      <c r="G239" s="278"/>
      <c r="H239" s="278"/>
      <c r="I239" s="27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278"/>
      <c r="AC239" s="8"/>
      <c r="AD239" s="8"/>
      <c r="AE239" s="8"/>
    </row>
    <row r="240" ht="13.5" customHeight="1">
      <c r="A240" s="8"/>
      <c r="B240" s="278"/>
      <c r="C240" s="8"/>
      <c r="D240" s="278"/>
      <c r="E240" s="278"/>
      <c r="F240" s="278"/>
      <c r="G240" s="278"/>
      <c r="H240" s="278"/>
      <c r="I240" s="27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278"/>
      <c r="AC240" s="8"/>
      <c r="AD240" s="8"/>
      <c r="AE240" s="8"/>
    </row>
    <row r="241" ht="13.5" customHeight="1">
      <c r="A241" s="8"/>
      <c r="B241" s="278"/>
      <c r="C241" s="8"/>
      <c r="D241" s="278"/>
      <c r="E241" s="278"/>
      <c r="F241" s="278"/>
      <c r="G241" s="278"/>
      <c r="H241" s="278"/>
      <c r="I241" s="27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278"/>
      <c r="AC241" s="8"/>
      <c r="AD241" s="8"/>
      <c r="AE241" s="8"/>
    </row>
    <row r="242" ht="13.5" customHeight="1">
      <c r="A242" s="8"/>
      <c r="B242" s="278"/>
      <c r="C242" s="8"/>
      <c r="D242" s="278"/>
      <c r="E242" s="278"/>
      <c r="F242" s="278"/>
      <c r="G242" s="278"/>
      <c r="H242" s="278"/>
      <c r="I242" s="27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278"/>
      <c r="AC242" s="8"/>
      <c r="AD242" s="8"/>
      <c r="AE242" s="8"/>
    </row>
    <row r="243" ht="13.5" customHeight="1">
      <c r="A243" s="8"/>
      <c r="B243" s="278"/>
      <c r="C243" s="8"/>
      <c r="D243" s="278"/>
      <c r="E243" s="278"/>
      <c r="F243" s="278"/>
      <c r="G243" s="278"/>
      <c r="H243" s="278"/>
      <c r="I243" s="27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278"/>
      <c r="AC243" s="8"/>
      <c r="AD243" s="8"/>
      <c r="AE243" s="8"/>
    </row>
    <row r="244" ht="13.5" customHeight="1">
      <c r="A244" s="8"/>
      <c r="B244" s="278"/>
      <c r="C244" s="8"/>
      <c r="D244" s="278"/>
      <c r="E244" s="278"/>
      <c r="F244" s="278"/>
      <c r="G244" s="278"/>
      <c r="H244" s="278"/>
      <c r="I244" s="27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278"/>
      <c r="AC244" s="8"/>
      <c r="AD244" s="8"/>
      <c r="AE244" s="8"/>
    </row>
    <row r="245" ht="13.5" customHeight="1">
      <c r="A245" s="8"/>
      <c r="B245" s="278"/>
      <c r="C245" s="8"/>
      <c r="D245" s="278"/>
      <c r="E245" s="278"/>
      <c r="F245" s="278"/>
      <c r="G245" s="278"/>
      <c r="H245" s="278"/>
      <c r="I245" s="27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278"/>
      <c r="AC245" s="8"/>
      <c r="AD245" s="8"/>
      <c r="AE245" s="8"/>
    </row>
    <row r="246" ht="13.5" customHeight="1">
      <c r="A246" s="8"/>
      <c r="B246" s="278"/>
      <c r="C246" s="8"/>
      <c r="D246" s="278"/>
      <c r="E246" s="278"/>
      <c r="F246" s="278"/>
      <c r="G246" s="278"/>
      <c r="H246" s="278"/>
      <c r="I246" s="27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278"/>
      <c r="AC246" s="8"/>
      <c r="AD246" s="8"/>
      <c r="AE246" s="8"/>
    </row>
    <row r="247" ht="13.5" customHeight="1">
      <c r="A247" s="8"/>
      <c r="B247" s="278"/>
      <c r="C247" s="8"/>
      <c r="D247" s="278"/>
      <c r="E247" s="278"/>
      <c r="F247" s="278"/>
      <c r="G247" s="278"/>
      <c r="H247" s="278"/>
      <c r="I247" s="27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278"/>
      <c r="AC247" s="8"/>
      <c r="AD247" s="8"/>
      <c r="AE247" s="8"/>
    </row>
    <row r="248" ht="13.5" customHeight="1">
      <c r="A248" s="8"/>
      <c r="B248" s="278"/>
      <c r="C248" s="8"/>
      <c r="D248" s="278"/>
      <c r="E248" s="278"/>
      <c r="F248" s="278"/>
      <c r="G248" s="278"/>
      <c r="H248" s="278"/>
      <c r="I248" s="27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278"/>
      <c r="AC248" s="8"/>
      <c r="AD248" s="8"/>
      <c r="AE248" s="8"/>
    </row>
    <row r="249" ht="13.5" customHeight="1">
      <c r="A249" s="8"/>
      <c r="B249" s="278"/>
      <c r="C249" s="8"/>
      <c r="D249" s="278"/>
      <c r="E249" s="278"/>
      <c r="F249" s="278"/>
      <c r="G249" s="278"/>
      <c r="H249" s="278"/>
      <c r="I249" s="27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278"/>
      <c r="AC249" s="8"/>
      <c r="AD249" s="8"/>
      <c r="AE249" s="8"/>
    </row>
    <row r="250" ht="13.5" customHeight="1">
      <c r="A250" s="8"/>
      <c r="B250" s="278"/>
      <c r="C250" s="8"/>
      <c r="D250" s="278"/>
      <c r="E250" s="278"/>
      <c r="F250" s="278"/>
      <c r="G250" s="278"/>
      <c r="H250" s="278"/>
      <c r="I250" s="27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278"/>
      <c r="AC250" s="8"/>
      <c r="AD250" s="8"/>
      <c r="AE250" s="8"/>
    </row>
    <row r="251" ht="13.5" customHeight="1">
      <c r="A251" s="8"/>
      <c r="B251" s="278"/>
      <c r="C251" s="8"/>
      <c r="D251" s="278"/>
      <c r="E251" s="278"/>
      <c r="F251" s="278"/>
      <c r="G251" s="278"/>
      <c r="H251" s="278"/>
      <c r="I251" s="27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278"/>
      <c r="AC251" s="8"/>
      <c r="AD251" s="8"/>
      <c r="AE251" s="8"/>
    </row>
    <row r="252" ht="13.5" customHeight="1">
      <c r="A252" s="8"/>
      <c r="B252" s="278"/>
      <c r="C252" s="8"/>
      <c r="D252" s="278"/>
      <c r="E252" s="278"/>
      <c r="F252" s="278"/>
      <c r="G252" s="278"/>
      <c r="H252" s="278"/>
      <c r="I252" s="27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278"/>
      <c r="AC252" s="8"/>
      <c r="AD252" s="8"/>
      <c r="AE252" s="8"/>
    </row>
    <row r="253" ht="13.5" customHeight="1">
      <c r="A253" s="8"/>
      <c r="B253" s="278"/>
      <c r="C253" s="8"/>
      <c r="D253" s="278"/>
      <c r="E253" s="278"/>
      <c r="F253" s="278"/>
      <c r="G253" s="278"/>
      <c r="H253" s="278"/>
      <c r="I253" s="27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278"/>
      <c r="AC253" s="8"/>
      <c r="AD253" s="8"/>
      <c r="AE253" s="8"/>
    </row>
    <row r="254" ht="13.5" customHeight="1">
      <c r="A254" s="8"/>
      <c r="B254" s="278"/>
      <c r="C254" s="8"/>
      <c r="D254" s="278"/>
      <c r="E254" s="278"/>
      <c r="F254" s="278"/>
      <c r="G254" s="278"/>
      <c r="H254" s="278"/>
      <c r="I254" s="27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278"/>
      <c r="AC254" s="8"/>
      <c r="AD254" s="8"/>
      <c r="AE254" s="8"/>
    </row>
    <row r="255" ht="13.5" customHeight="1">
      <c r="A255" s="8"/>
      <c r="B255" s="278"/>
      <c r="C255" s="8"/>
      <c r="D255" s="278"/>
      <c r="E255" s="278"/>
      <c r="F255" s="278"/>
      <c r="G255" s="278"/>
      <c r="H255" s="278"/>
      <c r="I255" s="27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278"/>
      <c r="AC255" s="8"/>
      <c r="AD255" s="8"/>
      <c r="AE255" s="8"/>
    </row>
    <row r="256" ht="13.5" customHeight="1">
      <c r="A256" s="8"/>
      <c r="B256" s="278"/>
      <c r="C256" s="8"/>
      <c r="D256" s="278"/>
      <c r="E256" s="278"/>
      <c r="F256" s="278"/>
      <c r="G256" s="278"/>
      <c r="H256" s="278"/>
      <c r="I256" s="27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278"/>
      <c r="AC256" s="8"/>
      <c r="AD256" s="8"/>
      <c r="AE256" s="8"/>
    </row>
    <row r="257" ht="13.5" customHeight="1">
      <c r="A257" s="8"/>
      <c r="B257" s="278"/>
      <c r="C257" s="8"/>
      <c r="D257" s="278"/>
      <c r="E257" s="278"/>
      <c r="F257" s="278"/>
      <c r="G257" s="278"/>
      <c r="H257" s="278"/>
      <c r="I257" s="27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278"/>
      <c r="AC257" s="8"/>
      <c r="AD257" s="8"/>
      <c r="AE257" s="8"/>
    </row>
    <row r="258" ht="13.5" customHeight="1">
      <c r="A258" s="8"/>
      <c r="B258" s="278"/>
      <c r="C258" s="8"/>
      <c r="D258" s="278"/>
      <c r="E258" s="278"/>
      <c r="F258" s="278"/>
      <c r="G258" s="278"/>
      <c r="H258" s="278"/>
      <c r="I258" s="27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278"/>
      <c r="AC258" s="8"/>
      <c r="AD258" s="8"/>
      <c r="AE258" s="8"/>
    </row>
    <row r="259" ht="13.5" customHeight="1">
      <c r="A259" s="8"/>
      <c r="B259" s="278"/>
      <c r="C259" s="8"/>
      <c r="D259" s="278"/>
      <c r="E259" s="278"/>
      <c r="F259" s="278"/>
      <c r="G259" s="278"/>
      <c r="H259" s="278"/>
      <c r="I259" s="27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278"/>
      <c r="AC259" s="8"/>
      <c r="AD259" s="8"/>
      <c r="AE259" s="8"/>
    </row>
    <row r="260" ht="13.5" customHeight="1">
      <c r="A260" s="8"/>
      <c r="B260" s="278"/>
      <c r="C260" s="8"/>
      <c r="D260" s="278"/>
      <c r="E260" s="278"/>
      <c r="F260" s="278"/>
      <c r="G260" s="278"/>
      <c r="H260" s="278"/>
      <c r="I260" s="27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278"/>
      <c r="AC260" s="8"/>
      <c r="AD260" s="8"/>
      <c r="AE260" s="8"/>
    </row>
    <row r="261" ht="13.5" customHeight="1">
      <c r="A261" s="8"/>
      <c r="B261" s="278"/>
      <c r="C261" s="8"/>
      <c r="D261" s="278"/>
      <c r="E261" s="278"/>
      <c r="F261" s="278"/>
      <c r="G261" s="278"/>
      <c r="H261" s="278"/>
      <c r="I261" s="27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278"/>
      <c r="AC261" s="8"/>
      <c r="AD261" s="8"/>
      <c r="AE261" s="8"/>
    </row>
    <row r="262" ht="13.5" customHeight="1">
      <c r="A262" s="8"/>
      <c r="B262" s="278"/>
      <c r="C262" s="8"/>
      <c r="D262" s="278"/>
      <c r="E262" s="278"/>
      <c r="F262" s="278"/>
      <c r="G262" s="278"/>
      <c r="H262" s="278"/>
      <c r="I262" s="27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278"/>
      <c r="AC262" s="8"/>
      <c r="AD262" s="8"/>
      <c r="AE262" s="8"/>
    </row>
    <row r="263" ht="13.5" customHeight="1">
      <c r="A263" s="8"/>
      <c r="B263" s="278"/>
      <c r="C263" s="8"/>
      <c r="D263" s="278"/>
      <c r="E263" s="278"/>
      <c r="F263" s="278"/>
      <c r="G263" s="278"/>
      <c r="H263" s="278"/>
      <c r="I263" s="27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278"/>
      <c r="AC263" s="8"/>
      <c r="AD263" s="8"/>
      <c r="AE263" s="8"/>
    </row>
    <row r="264" ht="13.5" customHeight="1">
      <c r="A264" s="8"/>
      <c r="B264" s="278"/>
      <c r="C264" s="8"/>
      <c r="D264" s="278"/>
      <c r="E264" s="278"/>
      <c r="F264" s="278"/>
      <c r="G264" s="278"/>
      <c r="H264" s="278"/>
      <c r="I264" s="27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278"/>
      <c r="AC264" s="8"/>
      <c r="AD264" s="8"/>
      <c r="AE264" s="8"/>
    </row>
    <row r="265" ht="13.5" customHeight="1">
      <c r="A265" s="8"/>
      <c r="B265" s="278"/>
      <c r="C265" s="8"/>
      <c r="D265" s="278"/>
      <c r="E265" s="278"/>
      <c r="F265" s="278"/>
      <c r="G265" s="278"/>
      <c r="H265" s="278"/>
      <c r="I265" s="27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278"/>
      <c r="AC265" s="8"/>
      <c r="AD265" s="8"/>
      <c r="AE265" s="8"/>
    </row>
    <row r="266" ht="13.5" customHeight="1">
      <c r="A266" s="8"/>
      <c r="B266" s="278"/>
      <c r="C266" s="8"/>
      <c r="D266" s="278"/>
      <c r="E266" s="278"/>
      <c r="F266" s="278"/>
      <c r="G266" s="278"/>
      <c r="H266" s="278"/>
      <c r="I266" s="27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278"/>
      <c r="AC266" s="8"/>
      <c r="AD266" s="8"/>
      <c r="AE266" s="8"/>
    </row>
    <row r="267" ht="13.5" customHeight="1">
      <c r="A267" s="8"/>
      <c r="B267" s="278"/>
      <c r="C267" s="8"/>
      <c r="D267" s="278"/>
      <c r="E267" s="278"/>
      <c r="F267" s="278"/>
      <c r="G267" s="278"/>
      <c r="H267" s="278"/>
      <c r="I267" s="27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278"/>
      <c r="AC267" s="8"/>
      <c r="AD267" s="8"/>
      <c r="AE267" s="8"/>
    </row>
    <row r="268" ht="13.5" customHeight="1">
      <c r="A268" s="8"/>
      <c r="B268" s="278"/>
      <c r="C268" s="8"/>
      <c r="D268" s="278"/>
      <c r="E268" s="278"/>
      <c r="F268" s="278"/>
      <c r="G268" s="278"/>
      <c r="H268" s="278"/>
      <c r="I268" s="27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278"/>
      <c r="AC268" s="8"/>
      <c r="AD268" s="8"/>
      <c r="AE268" s="8"/>
    </row>
    <row r="269" ht="13.5" customHeight="1">
      <c r="A269" s="8"/>
      <c r="B269" s="278"/>
      <c r="C269" s="8"/>
      <c r="D269" s="278"/>
      <c r="E269" s="278"/>
      <c r="F269" s="278"/>
      <c r="G269" s="278"/>
      <c r="H269" s="278"/>
      <c r="I269" s="27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278"/>
      <c r="AC269" s="8"/>
      <c r="AD269" s="8"/>
      <c r="AE269" s="8"/>
    </row>
    <row r="270" ht="13.5" customHeight="1">
      <c r="A270" s="8"/>
      <c r="B270" s="278"/>
      <c r="C270" s="8"/>
      <c r="D270" s="278"/>
      <c r="E270" s="278"/>
      <c r="F270" s="278"/>
      <c r="G270" s="278"/>
      <c r="H270" s="278"/>
      <c r="I270" s="27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278"/>
      <c r="AC270" s="8"/>
      <c r="AD270" s="8"/>
      <c r="AE270" s="8"/>
    </row>
    <row r="271" ht="13.5" customHeight="1">
      <c r="A271" s="8"/>
      <c r="B271" s="278"/>
      <c r="C271" s="8"/>
      <c r="D271" s="278"/>
      <c r="E271" s="278"/>
      <c r="F271" s="278"/>
      <c r="G271" s="278"/>
      <c r="H271" s="278"/>
      <c r="I271" s="27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278"/>
      <c r="AC271" s="8"/>
      <c r="AD271" s="8"/>
      <c r="AE271" s="8"/>
    </row>
    <row r="272" ht="13.5" customHeight="1">
      <c r="A272" s="8"/>
      <c r="B272" s="278"/>
      <c r="C272" s="8"/>
      <c r="D272" s="278"/>
      <c r="E272" s="278"/>
      <c r="F272" s="278"/>
      <c r="G272" s="278"/>
      <c r="H272" s="278"/>
      <c r="I272" s="27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278"/>
      <c r="AC272" s="8"/>
      <c r="AD272" s="8"/>
      <c r="AE272" s="8"/>
    </row>
    <row r="273" ht="13.5" customHeight="1">
      <c r="A273" s="8"/>
      <c r="B273" s="278"/>
      <c r="C273" s="8"/>
      <c r="D273" s="278"/>
      <c r="E273" s="278"/>
      <c r="F273" s="278"/>
      <c r="G273" s="278"/>
      <c r="H273" s="278"/>
      <c r="I273" s="27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278"/>
      <c r="AC273" s="8"/>
      <c r="AD273" s="8"/>
      <c r="AE273" s="8"/>
    </row>
    <row r="274" ht="13.5" customHeight="1">
      <c r="A274" s="8"/>
      <c r="B274" s="278"/>
      <c r="C274" s="8"/>
      <c r="D274" s="278"/>
      <c r="E274" s="278"/>
      <c r="F274" s="278"/>
      <c r="G274" s="278"/>
      <c r="H274" s="278"/>
      <c r="I274" s="27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278"/>
      <c r="AC274" s="8"/>
      <c r="AD274" s="8"/>
      <c r="AE274" s="8"/>
    </row>
    <row r="275" ht="13.5" customHeight="1">
      <c r="A275" s="8"/>
      <c r="B275" s="278"/>
      <c r="C275" s="8"/>
      <c r="D275" s="278"/>
      <c r="E275" s="278"/>
      <c r="F275" s="278"/>
      <c r="G275" s="278"/>
      <c r="H275" s="278"/>
      <c r="I275" s="27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278"/>
      <c r="AC275" s="8"/>
      <c r="AD275" s="8"/>
      <c r="AE275" s="8"/>
    </row>
    <row r="276" ht="13.5" customHeight="1">
      <c r="A276" s="8"/>
      <c r="B276" s="278"/>
      <c r="C276" s="8"/>
      <c r="D276" s="278"/>
      <c r="E276" s="278"/>
      <c r="F276" s="278"/>
      <c r="G276" s="278"/>
      <c r="H276" s="278"/>
      <c r="I276" s="27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278"/>
      <c r="AC276" s="8"/>
      <c r="AD276" s="8"/>
      <c r="AE276" s="8"/>
    </row>
    <row r="277" ht="13.5" customHeight="1">
      <c r="A277" s="8"/>
      <c r="B277" s="278"/>
      <c r="C277" s="8"/>
      <c r="D277" s="278"/>
      <c r="E277" s="278"/>
      <c r="F277" s="278"/>
      <c r="G277" s="278"/>
      <c r="H277" s="278"/>
      <c r="I277" s="27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278"/>
      <c r="AC277" s="8"/>
      <c r="AD277" s="8"/>
      <c r="AE277" s="8"/>
    </row>
    <row r="278" ht="13.5" customHeight="1">
      <c r="A278" s="8"/>
      <c r="B278" s="278"/>
      <c r="C278" s="8"/>
      <c r="D278" s="278"/>
      <c r="E278" s="278"/>
      <c r="F278" s="278"/>
      <c r="G278" s="278"/>
      <c r="H278" s="278"/>
      <c r="I278" s="27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278"/>
      <c r="AC278" s="8"/>
      <c r="AD278" s="8"/>
      <c r="AE278" s="8"/>
    </row>
    <row r="279" ht="13.5" customHeight="1">
      <c r="A279" s="8"/>
      <c r="B279" s="278"/>
      <c r="C279" s="8"/>
      <c r="D279" s="278"/>
      <c r="E279" s="278"/>
      <c r="F279" s="278"/>
      <c r="G279" s="278"/>
      <c r="H279" s="278"/>
      <c r="I279" s="27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278"/>
      <c r="AC279" s="8"/>
      <c r="AD279" s="8"/>
      <c r="AE279" s="8"/>
    </row>
    <row r="280" ht="13.5" customHeight="1">
      <c r="A280" s="8"/>
      <c r="B280" s="278"/>
      <c r="C280" s="8"/>
      <c r="D280" s="278"/>
      <c r="E280" s="278"/>
      <c r="F280" s="278"/>
      <c r="G280" s="278"/>
      <c r="H280" s="278"/>
      <c r="I280" s="27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278"/>
      <c r="AC280" s="8"/>
      <c r="AD280" s="8"/>
      <c r="AE280" s="8"/>
    </row>
    <row r="281" ht="13.5" customHeight="1">
      <c r="A281" s="8"/>
      <c r="B281" s="278"/>
      <c r="C281" s="8"/>
      <c r="D281" s="278"/>
      <c r="E281" s="278"/>
      <c r="F281" s="278"/>
      <c r="G281" s="278"/>
      <c r="H281" s="278"/>
      <c r="I281" s="27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278"/>
      <c r="AC281" s="8"/>
      <c r="AD281" s="8"/>
      <c r="AE281" s="8"/>
    </row>
    <row r="282" ht="13.5" customHeight="1">
      <c r="A282" s="8"/>
      <c r="B282" s="278"/>
      <c r="C282" s="8"/>
      <c r="D282" s="278"/>
      <c r="E282" s="278"/>
      <c r="F282" s="278"/>
      <c r="G282" s="278"/>
      <c r="H282" s="278"/>
      <c r="I282" s="27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278"/>
      <c r="AC282" s="8"/>
      <c r="AD282" s="8"/>
      <c r="AE282" s="8"/>
    </row>
    <row r="283" ht="13.5" customHeight="1">
      <c r="A283" s="8"/>
      <c r="B283" s="278"/>
      <c r="C283" s="8"/>
      <c r="D283" s="278"/>
      <c r="E283" s="278"/>
      <c r="F283" s="278"/>
      <c r="G283" s="278"/>
      <c r="H283" s="278"/>
      <c r="I283" s="27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278"/>
      <c r="AC283" s="8"/>
      <c r="AD283" s="8"/>
      <c r="AE283" s="8"/>
    </row>
    <row r="284" ht="13.5" customHeight="1">
      <c r="A284" s="8"/>
      <c r="B284" s="278"/>
      <c r="C284" s="8"/>
      <c r="D284" s="278"/>
      <c r="E284" s="278"/>
      <c r="F284" s="278"/>
      <c r="G284" s="278"/>
      <c r="H284" s="278"/>
      <c r="I284" s="27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278"/>
      <c r="AC284" s="8"/>
      <c r="AD284" s="8"/>
      <c r="AE284" s="8"/>
    </row>
    <row r="285" ht="13.5" customHeight="1">
      <c r="A285" s="8"/>
      <c r="B285" s="278"/>
      <c r="C285" s="8"/>
      <c r="D285" s="278"/>
      <c r="E285" s="278"/>
      <c r="F285" s="278"/>
      <c r="G285" s="278"/>
      <c r="H285" s="278"/>
      <c r="I285" s="27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278"/>
      <c r="AC285" s="8"/>
      <c r="AD285" s="8"/>
      <c r="AE285" s="8"/>
    </row>
    <row r="286" ht="13.5" customHeight="1">
      <c r="A286" s="8"/>
      <c r="B286" s="278"/>
      <c r="C286" s="8"/>
      <c r="D286" s="278"/>
      <c r="E286" s="278"/>
      <c r="F286" s="278"/>
      <c r="G286" s="278"/>
      <c r="H286" s="278"/>
      <c r="I286" s="27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278"/>
      <c r="AC286" s="8"/>
      <c r="AD286" s="8"/>
      <c r="AE286" s="8"/>
    </row>
    <row r="287" ht="13.5" customHeight="1">
      <c r="A287" s="8"/>
      <c r="B287" s="278"/>
      <c r="C287" s="8"/>
      <c r="D287" s="278"/>
      <c r="E287" s="278"/>
      <c r="F287" s="278"/>
      <c r="G287" s="278"/>
      <c r="H287" s="278"/>
      <c r="I287" s="27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278"/>
      <c r="AC287" s="8"/>
      <c r="AD287" s="8"/>
      <c r="AE287" s="8"/>
    </row>
    <row r="288" ht="13.5" customHeight="1">
      <c r="A288" s="8"/>
      <c r="B288" s="278"/>
      <c r="C288" s="8"/>
      <c r="D288" s="278"/>
      <c r="E288" s="278"/>
      <c r="F288" s="278"/>
      <c r="G288" s="278"/>
      <c r="H288" s="278"/>
      <c r="I288" s="27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278"/>
      <c r="AC288" s="8"/>
      <c r="AD288" s="8"/>
      <c r="AE288" s="8"/>
    </row>
    <row r="289" ht="13.5" customHeight="1">
      <c r="A289" s="8"/>
      <c r="B289" s="278"/>
      <c r="C289" s="8"/>
      <c r="D289" s="278"/>
      <c r="E289" s="278"/>
      <c r="F289" s="278"/>
      <c r="G289" s="278"/>
      <c r="H289" s="278"/>
      <c r="I289" s="27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278"/>
      <c r="AC289" s="8"/>
      <c r="AD289" s="8"/>
      <c r="AE289" s="8"/>
    </row>
    <row r="290" ht="13.5" customHeight="1">
      <c r="A290" s="8"/>
      <c r="B290" s="278"/>
      <c r="C290" s="8"/>
      <c r="D290" s="278"/>
      <c r="E290" s="278"/>
      <c r="F290" s="278"/>
      <c r="G290" s="278"/>
      <c r="H290" s="278"/>
      <c r="I290" s="27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278"/>
      <c r="AC290" s="8"/>
      <c r="AD290" s="8"/>
      <c r="AE290" s="8"/>
    </row>
    <row r="291" ht="13.5" customHeight="1">
      <c r="A291" s="8"/>
      <c r="B291" s="278"/>
      <c r="C291" s="8"/>
      <c r="D291" s="278"/>
      <c r="E291" s="278"/>
      <c r="F291" s="278"/>
      <c r="G291" s="278"/>
      <c r="H291" s="278"/>
      <c r="I291" s="27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278"/>
      <c r="AC291" s="8"/>
      <c r="AD291" s="8"/>
      <c r="AE291" s="8"/>
    </row>
    <row r="292" ht="13.5" customHeight="1">
      <c r="A292" s="8"/>
      <c r="B292" s="278"/>
      <c r="C292" s="8"/>
      <c r="D292" s="278"/>
      <c r="E292" s="278"/>
      <c r="F292" s="278"/>
      <c r="G292" s="278"/>
      <c r="H292" s="278"/>
      <c r="I292" s="27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278"/>
      <c r="AC292" s="8"/>
      <c r="AD292" s="8"/>
      <c r="AE292" s="8"/>
    </row>
    <row r="293" ht="13.5" customHeight="1">
      <c r="A293" s="8"/>
      <c r="B293" s="278"/>
      <c r="C293" s="8"/>
      <c r="D293" s="278"/>
      <c r="E293" s="278"/>
      <c r="F293" s="278"/>
      <c r="G293" s="278"/>
      <c r="H293" s="278"/>
      <c r="I293" s="27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278"/>
      <c r="AC293" s="8"/>
      <c r="AD293" s="8"/>
      <c r="AE293" s="8"/>
    </row>
    <row r="294" ht="13.5" customHeight="1">
      <c r="A294" s="8"/>
      <c r="B294" s="278"/>
      <c r="C294" s="8"/>
      <c r="D294" s="278"/>
      <c r="E294" s="278"/>
      <c r="F294" s="278"/>
      <c r="G294" s="278"/>
      <c r="H294" s="278"/>
      <c r="I294" s="27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278"/>
      <c r="AC294" s="8"/>
      <c r="AD294" s="8"/>
      <c r="AE294" s="8"/>
    </row>
    <row r="295" ht="13.5" customHeight="1">
      <c r="A295" s="8"/>
      <c r="B295" s="278"/>
      <c r="C295" s="8"/>
      <c r="D295" s="278"/>
      <c r="E295" s="278"/>
      <c r="F295" s="278"/>
      <c r="G295" s="278"/>
      <c r="H295" s="278"/>
      <c r="I295" s="27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278"/>
      <c r="AC295" s="8"/>
      <c r="AD295" s="8"/>
      <c r="AE295" s="8"/>
    </row>
    <row r="296" ht="13.5" customHeight="1">
      <c r="A296" s="8"/>
      <c r="B296" s="278"/>
      <c r="C296" s="8"/>
      <c r="D296" s="278"/>
      <c r="E296" s="278"/>
      <c r="F296" s="278"/>
      <c r="G296" s="278"/>
      <c r="H296" s="278"/>
      <c r="I296" s="27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278"/>
      <c r="AC296" s="8"/>
      <c r="AD296" s="8"/>
      <c r="AE296" s="8"/>
    </row>
    <row r="297" ht="13.5" customHeight="1">
      <c r="A297" s="8"/>
      <c r="B297" s="278"/>
      <c r="C297" s="8"/>
      <c r="D297" s="278"/>
      <c r="E297" s="278"/>
      <c r="F297" s="278"/>
      <c r="G297" s="278"/>
      <c r="H297" s="278"/>
      <c r="I297" s="27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278"/>
      <c r="AC297" s="8"/>
      <c r="AD297" s="8"/>
      <c r="AE297" s="8"/>
    </row>
    <row r="298" ht="13.5" customHeight="1">
      <c r="A298" s="8"/>
      <c r="B298" s="278"/>
      <c r="C298" s="8"/>
      <c r="D298" s="278"/>
      <c r="E298" s="278"/>
      <c r="F298" s="278"/>
      <c r="G298" s="278"/>
      <c r="H298" s="278"/>
      <c r="I298" s="27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278"/>
      <c r="AC298" s="8"/>
      <c r="AD298" s="8"/>
      <c r="AE298" s="8"/>
    </row>
    <row r="299" ht="13.5" customHeight="1">
      <c r="A299" s="8"/>
      <c r="B299" s="278"/>
      <c r="C299" s="8"/>
      <c r="D299" s="278"/>
      <c r="E299" s="278"/>
      <c r="F299" s="278"/>
      <c r="G299" s="278"/>
      <c r="H299" s="278"/>
      <c r="I299" s="27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278"/>
      <c r="AC299" s="8"/>
      <c r="AD299" s="8"/>
      <c r="AE299" s="8"/>
    </row>
    <row r="300" ht="13.5" customHeight="1">
      <c r="A300" s="8"/>
      <c r="B300" s="278"/>
      <c r="C300" s="8"/>
      <c r="D300" s="278"/>
      <c r="E300" s="278"/>
      <c r="F300" s="278"/>
      <c r="G300" s="278"/>
      <c r="H300" s="278"/>
      <c r="I300" s="27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278"/>
      <c r="AC300" s="8"/>
      <c r="AD300" s="8"/>
      <c r="AE300" s="8"/>
    </row>
    <row r="301" ht="13.5" customHeight="1">
      <c r="A301" s="8"/>
      <c r="B301" s="278"/>
      <c r="C301" s="8"/>
      <c r="D301" s="278"/>
      <c r="E301" s="278"/>
      <c r="F301" s="278"/>
      <c r="G301" s="278"/>
      <c r="H301" s="278"/>
      <c r="I301" s="27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278"/>
      <c r="AC301" s="8"/>
      <c r="AD301" s="8"/>
      <c r="AE301" s="8"/>
    </row>
    <row r="302" ht="13.5" customHeight="1">
      <c r="A302" s="8"/>
      <c r="B302" s="278"/>
      <c r="C302" s="8"/>
      <c r="D302" s="278"/>
      <c r="E302" s="278"/>
      <c r="F302" s="278"/>
      <c r="G302" s="278"/>
      <c r="H302" s="278"/>
      <c r="I302" s="27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278"/>
      <c r="AC302" s="8"/>
      <c r="AD302" s="8"/>
      <c r="AE302" s="8"/>
    </row>
    <row r="303" ht="13.5" customHeight="1">
      <c r="A303" s="8"/>
      <c r="B303" s="278"/>
      <c r="C303" s="8"/>
      <c r="D303" s="278"/>
      <c r="E303" s="278"/>
      <c r="F303" s="278"/>
      <c r="G303" s="278"/>
      <c r="H303" s="278"/>
      <c r="I303" s="27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278"/>
      <c r="AC303" s="8"/>
      <c r="AD303" s="8"/>
      <c r="AE303" s="8"/>
    </row>
    <row r="304" ht="13.5" customHeight="1">
      <c r="A304" s="8"/>
      <c r="B304" s="278"/>
      <c r="C304" s="8"/>
      <c r="D304" s="278"/>
      <c r="E304" s="278"/>
      <c r="F304" s="278"/>
      <c r="G304" s="278"/>
      <c r="H304" s="278"/>
      <c r="I304" s="27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278"/>
      <c r="AC304" s="8"/>
      <c r="AD304" s="8"/>
      <c r="AE304" s="8"/>
    </row>
    <row r="305" ht="13.5" customHeight="1">
      <c r="A305" s="8"/>
      <c r="B305" s="278"/>
      <c r="C305" s="8"/>
      <c r="D305" s="278"/>
      <c r="E305" s="278"/>
      <c r="F305" s="278"/>
      <c r="G305" s="278"/>
      <c r="H305" s="278"/>
      <c r="I305" s="27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278"/>
      <c r="AC305" s="8"/>
      <c r="AD305" s="8"/>
      <c r="AE305" s="8"/>
    </row>
    <row r="306" ht="13.5" customHeight="1">
      <c r="A306" s="8"/>
      <c r="B306" s="278"/>
      <c r="C306" s="8"/>
      <c r="D306" s="278"/>
      <c r="E306" s="278"/>
      <c r="F306" s="278"/>
      <c r="G306" s="278"/>
      <c r="H306" s="278"/>
      <c r="I306" s="27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278"/>
      <c r="AC306" s="8"/>
      <c r="AD306" s="8"/>
      <c r="AE306" s="8"/>
    </row>
    <row r="307" ht="13.5" customHeight="1">
      <c r="A307" s="8"/>
      <c r="B307" s="278"/>
      <c r="C307" s="8"/>
      <c r="D307" s="278"/>
      <c r="E307" s="278"/>
      <c r="F307" s="278"/>
      <c r="G307" s="278"/>
      <c r="H307" s="278"/>
      <c r="I307" s="27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278"/>
      <c r="AC307" s="8"/>
      <c r="AD307" s="8"/>
      <c r="AE307" s="8"/>
    </row>
    <row r="308" ht="13.5" customHeight="1">
      <c r="A308" s="8"/>
      <c r="B308" s="278"/>
      <c r="C308" s="8"/>
      <c r="D308" s="278"/>
      <c r="E308" s="278"/>
      <c r="F308" s="278"/>
      <c r="G308" s="278"/>
      <c r="H308" s="278"/>
      <c r="I308" s="27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278"/>
      <c r="AC308" s="8"/>
      <c r="AD308" s="8"/>
      <c r="AE308" s="8"/>
    </row>
    <row r="309" ht="13.5" customHeight="1">
      <c r="A309" s="8"/>
      <c r="B309" s="278"/>
      <c r="C309" s="8"/>
      <c r="D309" s="278"/>
      <c r="E309" s="278"/>
      <c r="F309" s="278"/>
      <c r="G309" s="278"/>
      <c r="H309" s="278"/>
      <c r="I309" s="27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278"/>
      <c r="AC309" s="8"/>
      <c r="AD309" s="8"/>
      <c r="AE309" s="8"/>
    </row>
    <row r="310" ht="13.5" customHeight="1">
      <c r="A310" s="8"/>
      <c r="B310" s="278"/>
      <c r="C310" s="8"/>
      <c r="D310" s="278"/>
      <c r="E310" s="278"/>
      <c r="F310" s="278"/>
      <c r="G310" s="278"/>
      <c r="H310" s="278"/>
      <c r="I310" s="27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278"/>
      <c r="AC310" s="8"/>
      <c r="AD310" s="8"/>
      <c r="AE310" s="8"/>
    </row>
    <row r="311" ht="13.5" customHeight="1">
      <c r="A311" s="8"/>
      <c r="B311" s="278"/>
      <c r="C311" s="8"/>
      <c r="D311" s="278"/>
      <c r="E311" s="278"/>
      <c r="F311" s="278"/>
      <c r="G311" s="278"/>
      <c r="H311" s="278"/>
      <c r="I311" s="27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278"/>
      <c r="AC311" s="8"/>
      <c r="AD311" s="8"/>
      <c r="AE311" s="8"/>
    </row>
    <row r="312" ht="13.5" customHeight="1">
      <c r="A312" s="8"/>
      <c r="B312" s="278"/>
      <c r="C312" s="8"/>
      <c r="D312" s="278"/>
      <c r="E312" s="278"/>
      <c r="F312" s="278"/>
      <c r="G312" s="278"/>
      <c r="H312" s="278"/>
      <c r="I312" s="27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278"/>
      <c r="AC312" s="8"/>
      <c r="AD312" s="8"/>
      <c r="AE312" s="8"/>
    </row>
    <row r="313" ht="13.5" customHeight="1">
      <c r="A313" s="8"/>
      <c r="B313" s="278"/>
      <c r="C313" s="8"/>
      <c r="D313" s="278"/>
      <c r="E313" s="278"/>
      <c r="F313" s="278"/>
      <c r="G313" s="278"/>
      <c r="H313" s="278"/>
      <c r="I313" s="27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278"/>
      <c r="AC313" s="8"/>
      <c r="AD313" s="8"/>
      <c r="AE313" s="8"/>
    </row>
    <row r="314" ht="13.5" customHeight="1">
      <c r="A314" s="8"/>
      <c r="B314" s="278"/>
      <c r="C314" s="8"/>
      <c r="D314" s="278"/>
      <c r="E314" s="278"/>
      <c r="F314" s="278"/>
      <c r="G314" s="278"/>
      <c r="H314" s="278"/>
      <c r="I314" s="27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278"/>
      <c r="AC314" s="8"/>
      <c r="AD314" s="8"/>
      <c r="AE314" s="8"/>
    </row>
    <row r="315" ht="13.5" customHeight="1">
      <c r="A315" s="8"/>
      <c r="B315" s="278"/>
      <c r="C315" s="8"/>
      <c r="D315" s="278"/>
      <c r="E315" s="278"/>
      <c r="F315" s="278"/>
      <c r="G315" s="278"/>
      <c r="H315" s="278"/>
      <c r="I315" s="27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278"/>
      <c r="AC315" s="8"/>
      <c r="AD315" s="8"/>
      <c r="AE315" s="8"/>
    </row>
    <row r="316" ht="13.5" customHeight="1">
      <c r="A316" s="8"/>
      <c r="B316" s="278"/>
      <c r="C316" s="8"/>
      <c r="D316" s="278"/>
      <c r="E316" s="278"/>
      <c r="F316" s="278"/>
      <c r="G316" s="278"/>
      <c r="H316" s="278"/>
      <c r="I316" s="27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278"/>
      <c r="AC316" s="8"/>
      <c r="AD316" s="8"/>
      <c r="AE316" s="8"/>
    </row>
    <row r="317" ht="13.5" customHeight="1">
      <c r="A317" s="8"/>
      <c r="B317" s="278"/>
      <c r="C317" s="8"/>
      <c r="D317" s="278"/>
      <c r="E317" s="278"/>
      <c r="F317" s="278"/>
      <c r="G317" s="278"/>
      <c r="H317" s="278"/>
      <c r="I317" s="27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278"/>
      <c r="AC317" s="8"/>
      <c r="AD317" s="8"/>
      <c r="AE317" s="8"/>
    </row>
    <row r="318" ht="13.5" customHeight="1">
      <c r="A318" s="8"/>
      <c r="B318" s="278"/>
      <c r="C318" s="8"/>
      <c r="D318" s="278"/>
      <c r="E318" s="278"/>
      <c r="F318" s="278"/>
      <c r="G318" s="278"/>
      <c r="H318" s="278"/>
      <c r="I318" s="27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278"/>
      <c r="AC318" s="8"/>
      <c r="AD318" s="8"/>
      <c r="AE318" s="8"/>
    </row>
    <row r="319" ht="13.5" customHeight="1">
      <c r="A319" s="8"/>
      <c r="B319" s="278"/>
      <c r="C319" s="8"/>
      <c r="D319" s="278"/>
      <c r="E319" s="278"/>
      <c r="F319" s="278"/>
      <c r="G319" s="278"/>
      <c r="H319" s="278"/>
      <c r="I319" s="27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278"/>
      <c r="AC319" s="8"/>
      <c r="AD319" s="8"/>
      <c r="AE319" s="8"/>
    </row>
    <row r="320" ht="13.5" customHeight="1">
      <c r="A320" s="8"/>
      <c r="B320" s="278"/>
      <c r="C320" s="8"/>
      <c r="D320" s="278"/>
      <c r="E320" s="278"/>
      <c r="F320" s="278"/>
      <c r="G320" s="278"/>
      <c r="H320" s="278"/>
      <c r="I320" s="27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278"/>
      <c r="AC320" s="8"/>
      <c r="AD320" s="8"/>
      <c r="AE320" s="8"/>
    </row>
    <row r="321" ht="13.5" customHeight="1">
      <c r="A321" s="8"/>
      <c r="B321" s="278"/>
      <c r="C321" s="8"/>
      <c r="D321" s="278"/>
      <c r="E321" s="278"/>
      <c r="F321" s="278"/>
      <c r="G321" s="278"/>
      <c r="H321" s="278"/>
      <c r="I321" s="27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278"/>
      <c r="AC321" s="8"/>
      <c r="AD321" s="8"/>
      <c r="AE321" s="8"/>
    </row>
    <row r="322" ht="13.5" customHeight="1">
      <c r="A322" s="8"/>
      <c r="B322" s="278"/>
      <c r="C322" s="8"/>
      <c r="D322" s="278"/>
      <c r="E322" s="278"/>
      <c r="F322" s="278"/>
      <c r="G322" s="278"/>
      <c r="H322" s="278"/>
      <c r="I322" s="27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278"/>
      <c r="AC322" s="8"/>
      <c r="AD322" s="8"/>
      <c r="AE322" s="8"/>
    </row>
    <row r="323" ht="13.5" customHeight="1">
      <c r="A323" s="8"/>
      <c r="B323" s="278"/>
      <c r="C323" s="8"/>
      <c r="D323" s="278"/>
      <c r="E323" s="278"/>
      <c r="F323" s="278"/>
      <c r="G323" s="278"/>
      <c r="H323" s="278"/>
      <c r="I323" s="27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278"/>
      <c r="AC323" s="8"/>
      <c r="AD323" s="8"/>
      <c r="AE323" s="8"/>
    </row>
    <row r="324" ht="13.5" customHeight="1">
      <c r="A324" s="8"/>
      <c r="B324" s="278"/>
      <c r="C324" s="8"/>
      <c r="D324" s="278"/>
      <c r="E324" s="278"/>
      <c r="F324" s="278"/>
      <c r="G324" s="278"/>
      <c r="H324" s="278"/>
      <c r="I324" s="27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278"/>
      <c r="AC324" s="8"/>
      <c r="AD324" s="8"/>
      <c r="AE324" s="8"/>
    </row>
    <row r="325" ht="13.5" customHeight="1">
      <c r="A325" s="8"/>
      <c r="B325" s="278"/>
      <c r="C325" s="8"/>
      <c r="D325" s="278"/>
      <c r="E325" s="278"/>
      <c r="F325" s="278"/>
      <c r="G325" s="278"/>
      <c r="H325" s="278"/>
      <c r="I325" s="27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278"/>
      <c r="AC325" s="8"/>
      <c r="AD325" s="8"/>
      <c r="AE325" s="8"/>
    </row>
    <row r="326" ht="13.5" customHeight="1">
      <c r="A326" s="8"/>
      <c r="B326" s="278"/>
      <c r="C326" s="8"/>
      <c r="D326" s="278"/>
      <c r="E326" s="278"/>
      <c r="F326" s="278"/>
      <c r="G326" s="278"/>
      <c r="H326" s="278"/>
      <c r="I326" s="27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278"/>
      <c r="AC326" s="8"/>
      <c r="AD326" s="8"/>
      <c r="AE326" s="8"/>
    </row>
    <row r="327" ht="13.5" customHeight="1">
      <c r="A327" s="8"/>
      <c r="B327" s="278"/>
      <c r="C327" s="8"/>
      <c r="D327" s="278"/>
      <c r="E327" s="278"/>
      <c r="F327" s="278"/>
      <c r="G327" s="278"/>
      <c r="H327" s="278"/>
      <c r="I327" s="27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278"/>
      <c r="AC327" s="8"/>
      <c r="AD327" s="8"/>
      <c r="AE327" s="8"/>
    </row>
    <row r="328" ht="13.5" customHeight="1">
      <c r="A328" s="8"/>
      <c r="B328" s="278"/>
      <c r="C328" s="8"/>
      <c r="D328" s="278"/>
      <c r="E328" s="278"/>
      <c r="F328" s="278"/>
      <c r="G328" s="278"/>
      <c r="H328" s="278"/>
      <c r="I328" s="27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278"/>
      <c r="AC328" s="8"/>
      <c r="AD328" s="8"/>
      <c r="AE328" s="8"/>
    </row>
    <row r="329" ht="13.5" customHeight="1">
      <c r="A329" s="8"/>
      <c r="B329" s="278"/>
      <c r="C329" s="8"/>
      <c r="D329" s="278"/>
      <c r="E329" s="278"/>
      <c r="F329" s="278"/>
      <c r="G329" s="278"/>
      <c r="H329" s="278"/>
      <c r="I329" s="27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278"/>
      <c r="AC329" s="8"/>
      <c r="AD329" s="8"/>
      <c r="AE329" s="8"/>
    </row>
    <row r="330" ht="13.5" customHeight="1">
      <c r="A330" s="8"/>
      <c r="B330" s="278"/>
      <c r="C330" s="8"/>
      <c r="D330" s="278"/>
      <c r="E330" s="278"/>
      <c r="F330" s="278"/>
      <c r="G330" s="278"/>
      <c r="H330" s="278"/>
      <c r="I330" s="27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278"/>
      <c r="AC330" s="8"/>
      <c r="AD330" s="8"/>
      <c r="AE330" s="8"/>
    </row>
    <row r="331" ht="13.5" customHeight="1">
      <c r="A331" s="8"/>
      <c r="B331" s="278"/>
      <c r="C331" s="8"/>
      <c r="D331" s="278"/>
      <c r="E331" s="278"/>
      <c r="F331" s="278"/>
      <c r="G331" s="278"/>
      <c r="H331" s="278"/>
      <c r="I331" s="27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278"/>
      <c r="AC331" s="8"/>
      <c r="AD331" s="8"/>
      <c r="AE331" s="8"/>
    </row>
    <row r="332" ht="13.5" customHeight="1">
      <c r="A332" s="8"/>
      <c r="B332" s="278"/>
      <c r="C332" s="8"/>
      <c r="D332" s="278"/>
      <c r="E332" s="278"/>
      <c r="F332" s="278"/>
      <c r="G332" s="278"/>
      <c r="H332" s="278"/>
      <c r="I332" s="27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278"/>
      <c r="AC332" s="8"/>
      <c r="AD332" s="8"/>
      <c r="AE332" s="8"/>
    </row>
    <row r="333" ht="13.5" customHeight="1">
      <c r="A333" s="8"/>
      <c r="B333" s="278"/>
      <c r="C333" s="8"/>
      <c r="D333" s="278"/>
      <c r="E333" s="278"/>
      <c r="F333" s="278"/>
      <c r="G333" s="278"/>
      <c r="H333" s="278"/>
      <c r="I333" s="27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278"/>
      <c r="AC333" s="8"/>
      <c r="AD333" s="8"/>
      <c r="AE333" s="8"/>
    </row>
    <row r="334" ht="13.5" customHeight="1">
      <c r="A334" s="8"/>
      <c r="B334" s="278"/>
      <c r="C334" s="8"/>
      <c r="D334" s="278"/>
      <c r="E334" s="278"/>
      <c r="F334" s="278"/>
      <c r="G334" s="278"/>
      <c r="H334" s="278"/>
      <c r="I334" s="27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278"/>
      <c r="AC334" s="8"/>
      <c r="AD334" s="8"/>
      <c r="AE334" s="8"/>
    </row>
    <row r="335" ht="13.5" customHeight="1">
      <c r="A335" s="8"/>
      <c r="B335" s="278"/>
      <c r="C335" s="8"/>
      <c r="D335" s="278"/>
      <c r="E335" s="278"/>
      <c r="F335" s="278"/>
      <c r="G335" s="278"/>
      <c r="H335" s="278"/>
      <c r="I335" s="27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278"/>
      <c r="AC335" s="8"/>
      <c r="AD335" s="8"/>
      <c r="AE335" s="8"/>
    </row>
    <row r="336" ht="13.5" customHeight="1">
      <c r="A336" s="8"/>
      <c r="B336" s="278"/>
      <c r="C336" s="8"/>
      <c r="D336" s="278"/>
      <c r="E336" s="278"/>
      <c r="F336" s="278"/>
      <c r="G336" s="278"/>
      <c r="H336" s="278"/>
      <c r="I336" s="27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278"/>
      <c r="AC336" s="8"/>
      <c r="AD336" s="8"/>
      <c r="AE336" s="8"/>
    </row>
    <row r="337" ht="13.5" customHeight="1">
      <c r="A337" s="8"/>
      <c r="B337" s="278"/>
      <c r="C337" s="8"/>
      <c r="D337" s="278"/>
      <c r="E337" s="278"/>
      <c r="F337" s="278"/>
      <c r="G337" s="278"/>
      <c r="H337" s="278"/>
      <c r="I337" s="27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278"/>
      <c r="AC337" s="8"/>
      <c r="AD337" s="8"/>
      <c r="AE337" s="8"/>
    </row>
    <row r="338" ht="13.5" customHeight="1">
      <c r="A338" s="8"/>
      <c r="B338" s="278"/>
      <c r="C338" s="8"/>
      <c r="D338" s="278"/>
      <c r="E338" s="278"/>
      <c r="F338" s="278"/>
      <c r="G338" s="278"/>
      <c r="H338" s="278"/>
      <c r="I338" s="27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278"/>
      <c r="AC338" s="8"/>
      <c r="AD338" s="8"/>
      <c r="AE338" s="8"/>
    </row>
    <row r="339" ht="13.5" customHeight="1">
      <c r="A339" s="8"/>
      <c r="B339" s="278"/>
      <c r="C339" s="8"/>
      <c r="D339" s="278"/>
      <c r="E339" s="278"/>
      <c r="F339" s="278"/>
      <c r="G339" s="278"/>
      <c r="H339" s="278"/>
      <c r="I339" s="27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278"/>
      <c r="AC339" s="8"/>
      <c r="AD339" s="8"/>
      <c r="AE339" s="8"/>
    </row>
    <row r="340" ht="13.5" customHeight="1">
      <c r="A340" s="8"/>
      <c r="B340" s="278"/>
      <c r="C340" s="8"/>
      <c r="D340" s="278"/>
      <c r="E340" s="278"/>
      <c r="F340" s="278"/>
      <c r="G340" s="278"/>
      <c r="H340" s="278"/>
      <c r="I340" s="27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278"/>
      <c r="AC340" s="8"/>
      <c r="AD340" s="8"/>
      <c r="AE340" s="8"/>
    </row>
    <row r="341" ht="13.5" customHeight="1">
      <c r="A341" s="8"/>
      <c r="B341" s="278"/>
      <c r="C341" s="8"/>
      <c r="D341" s="278"/>
      <c r="E341" s="278"/>
      <c r="F341" s="278"/>
      <c r="G341" s="278"/>
      <c r="H341" s="278"/>
      <c r="I341" s="27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278"/>
      <c r="AC341" s="8"/>
      <c r="AD341" s="8"/>
      <c r="AE341" s="8"/>
    </row>
    <row r="342" ht="13.5" customHeight="1">
      <c r="A342" s="8"/>
      <c r="B342" s="278"/>
      <c r="C342" s="8"/>
      <c r="D342" s="278"/>
      <c r="E342" s="278"/>
      <c r="F342" s="278"/>
      <c r="G342" s="278"/>
      <c r="H342" s="278"/>
      <c r="I342" s="27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278"/>
      <c r="AC342" s="8"/>
      <c r="AD342" s="8"/>
      <c r="AE342" s="8"/>
    </row>
    <row r="343" ht="13.5" customHeight="1">
      <c r="A343" s="8"/>
      <c r="B343" s="278"/>
      <c r="C343" s="8"/>
      <c r="D343" s="278"/>
      <c r="E343" s="278"/>
      <c r="F343" s="278"/>
      <c r="G343" s="278"/>
      <c r="H343" s="278"/>
      <c r="I343" s="27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278"/>
      <c r="AC343" s="8"/>
      <c r="AD343" s="8"/>
      <c r="AE343" s="8"/>
    </row>
    <row r="344" ht="13.5" customHeight="1">
      <c r="A344" s="8"/>
      <c r="B344" s="278"/>
      <c r="C344" s="8"/>
      <c r="D344" s="278"/>
      <c r="E344" s="278"/>
      <c r="F344" s="278"/>
      <c r="G344" s="278"/>
      <c r="H344" s="278"/>
      <c r="I344" s="27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278"/>
      <c r="AC344" s="8"/>
      <c r="AD344" s="8"/>
      <c r="AE344" s="8"/>
    </row>
    <row r="345" ht="13.5" customHeight="1">
      <c r="A345" s="8"/>
      <c r="B345" s="278"/>
      <c r="C345" s="8"/>
      <c r="D345" s="278"/>
      <c r="E345" s="278"/>
      <c r="F345" s="278"/>
      <c r="G345" s="278"/>
      <c r="H345" s="278"/>
      <c r="I345" s="27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278"/>
      <c r="AC345" s="8"/>
      <c r="AD345" s="8"/>
      <c r="AE345" s="8"/>
    </row>
    <row r="346" ht="13.5" customHeight="1">
      <c r="A346" s="8"/>
      <c r="B346" s="278"/>
      <c r="C346" s="8"/>
      <c r="D346" s="278"/>
      <c r="E346" s="278"/>
      <c r="F346" s="278"/>
      <c r="G346" s="278"/>
      <c r="H346" s="278"/>
      <c r="I346" s="27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278"/>
      <c r="AC346" s="8"/>
      <c r="AD346" s="8"/>
      <c r="AE346" s="8"/>
    </row>
    <row r="347" ht="13.5" customHeight="1">
      <c r="A347" s="8"/>
      <c r="B347" s="278"/>
      <c r="C347" s="8"/>
      <c r="D347" s="278"/>
      <c r="E347" s="278"/>
      <c r="F347" s="278"/>
      <c r="G347" s="278"/>
      <c r="H347" s="278"/>
      <c r="I347" s="27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278"/>
      <c r="AC347" s="8"/>
      <c r="AD347" s="8"/>
      <c r="AE347" s="8"/>
    </row>
    <row r="348" ht="13.5" customHeight="1">
      <c r="A348" s="8"/>
      <c r="B348" s="278"/>
      <c r="C348" s="8"/>
      <c r="D348" s="278"/>
      <c r="E348" s="278"/>
      <c r="F348" s="278"/>
      <c r="G348" s="278"/>
      <c r="H348" s="278"/>
      <c r="I348" s="27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278"/>
      <c r="AC348" s="8"/>
      <c r="AD348" s="8"/>
      <c r="AE348" s="8"/>
    </row>
    <row r="349" ht="13.5" customHeight="1">
      <c r="A349" s="8"/>
      <c r="B349" s="278"/>
      <c r="C349" s="8"/>
      <c r="D349" s="278"/>
      <c r="E349" s="278"/>
      <c r="F349" s="278"/>
      <c r="G349" s="278"/>
      <c r="H349" s="278"/>
      <c r="I349" s="27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278"/>
      <c r="AC349" s="8"/>
      <c r="AD349" s="8"/>
      <c r="AE349" s="8"/>
    </row>
    <row r="350" ht="13.5" customHeight="1">
      <c r="A350" s="8"/>
      <c r="B350" s="278"/>
      <c r="C350" s="8"/>
      <c r="D350" s="278"/>
      <c r="E350" s="278"/>
      <c r="F350" s="278"/>
      <c r="G350" s="278"/>
      <c r="H350" s="278"/>
      <c r="I350" s="27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278"/>
      <c r="AC350" s="8"/>
      <c r="AD350" s="8"/>
      <c r="AE350" s="8"/>
    </row>
    <row r="351" ht="13.5" customHeight="1">
      <c r="A351" s="8"/>
      <c r="B351" s="278"/>
      <c r="C351" s="8"/>
      <c r="D351" s="278"/>
      <c r="E351" s="278"/>
      <c r="F351" s="278"/>
      <c r="G351" s="278"/>
      <c r="H351" s="278"/>
      <c r="I351" s="27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278"/>
      <c r="AC351" s="8"/>
      <c r="AD351" s="8"/>
      <c r="AE351" s="8"/>
    </row>
    <row r="352" ht="13.5" customHeight="1">
      <c r="A352" s="8"/>
      <c r="B352" s="278"/>
      <c r="C352" s="8"/>
      <c r="D352" s="278"/>
      <c r="E352" s="278"/>
      <c r="F352" s="278"/>
      <c r="G352" s="278"/>
      <c r="H352" s="278"/>
      <c r="I352" s="27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278"/>
      <c r="AC352" s="8"/>
      <c r="AD352" s="8"/>
      <c r="AE352" s="8"/>
    </row>
    <row r="353" ht="13.5" customHeight="1">
      <c r="A353" s="8"/>
      <c r="B353" s="278"/>
      <c r="C353" s="8"/>
      <c r="D353" s="278"/>
      <c r="E353" s="278"/>
      <c r="F353" s="278"/>
      <c r="G353" s="278"/>
      <c r="H353" s="278"/>
      <c r="I353" s="27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278"/>
      <c r="AC353" s="8"/>
      <c r="AD353" s="8"/>
      <c r="AE353" s="8"/>
    </row>
    <row r="354" ht="13.5" customHeight="1">
      <c r="A354" s="8"/>
      <c r="B354" s="278"/>
      <c r="C354" s="8"/>
      <c r="D354" s="278"/>
      <c r="E354" s="278"/>
      <c r="F354" s="278"/>
      <c r="G354" s="278"/>
      <c r="H354" s="278"/>
      <c r="I354" s="27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278"/>
      <c r="AC354" s="8"/>
      <c r="AD354" s="8"/>
      <c r="AE354" s="8"/>
    </row>
    <row r="355" ht="13.5" customHeight="1">
      <c r="A355" s="8"/>
      <c r="B355" s="278"/>
      <c r="C355" s="8"/>
      <c r="D355" s="278"/>
      <c r="E355" s="278"/>
      <c r="F355" s="278"/>
      <c r="G355" s="278"/>
      <c r="H355" s="278"/>
      <c r="I355" s="27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278"/>
      <c r="AC355" s="8"/>
      <c r="AD355" s="8"/>
      <c r="AE355" s="8"/>
    </row>
    <row r="356" ht="13.5" customHeight="1">
      <c r="A356" s="8"/>
      <c r="B356" s="278"/>
      <c r="C356" s="8"/>
      <c r="D356" s="278"/>
      <c r="E356" s="278"/>
      <c r="F356" s="278"/>
      <c r="G356" s="278"/>
      <c r="H356" s="278"/>
      <c r="I356" s="27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278"/>
      <c r="AC356" s="8"/>
      <c r="AD356" s="8"/>
      <c r="AE356" s="8"/>
    </row>
    <row r="357" ht="13.5" customHeight="1">
      <c r="A357" s="8"/>
      <c r="B357" s="278"/>
      <c r="C357" s="8"/>
      <c r="D357" s="278"/>
      <c r="E357" s="278"/>
      <c r="F357" s="278"/>
      <c r="G357" s="278"/>
      <c r="H357" s="278"/>
      <c r="I357" s="27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278"/>
      <c r="AC357" s="8"/>
      <c r="AD357" s="8"/>
      <c r="AE357" s="8"/>
    </row>
    <row r="358" ht="13.5" customHeight="1">
      <c r="A358" s="8"/>
      <c r="B358" s="278"/>
      <c r="C358" s="8"/>
      <c r="D358" s="278"/>
      <c r="E358" s="278"/>
      <c r="F358" s="278"/>
      <c r="G358" s="278"/>
      <c r="H358" s="278"/>
      <c r="I358" s="27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278"/>
      <c r="AC358" s="8"/>
      <c r="AD358" s="8"/>
      <c r="AE358" s="8"/>
    </row>
    <row r="359" ht="13.5" customHeight="1">
      <c r="A359" s="8"/>
      <c r="B359" s="278"/>
      <c r="C359" s="8"/>
      <c r="D359" s="278"/>
      <c r="E359" s="278"/>
      <c r="F359" s="278"/>
      <c r="G359" s="278"/>
      <c r="H359" s="278"/>
      <c r="I359" s="27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278"/>
      <c r="AC359" s="8"/>
      <c r="AD359" s="8"/>
      <c r="AE359" s="8"/>
    </row>
    <row r="360" ht="13.5" customHeight="1">
      <c r="A360" s="8"/>
      <c r="B360" s="278"/>
      <c r="C360" s="8"/>
      <c r="D360" s="278"/>
      <c r="E360" s="278"/>
      <c r="F360" s="278"/>
      <c r="G360" s="278"/>
      <c r="H360" s="278"/>
      <c r="I360" s="27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278"/>
      <c r="AC360" s="8"/>
      <c r="AD360" s="8"/>
      <c r="AE360" s="8"/>
    </row>
    <row r="361" ht="13.5" customHeight="1">
      <c r="A361" s="8"/>
      <c r="B361" s="278"/>
      <c r="C361" s="8"/>
      <c r="D361" s="278"/>
      <c r="E361" s="278"/>
      <c r="F361" s="278"/>
      <c r="G361" s="278"/>
      <c r="H361" s="278"/>
      <c r="I361" s="27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278"/>
      <c r="AC361" s="8"/>
      <c r="AD361" s="8"/>
      <c r="AE361" s="8"/>
    </row>
    <row r="362" ht="13.5" customHeight="1">
      <c r="A362" s="8"/>
      <c r="B362" s="278"/>
      <c r="C362" s="8"/>
      <c r="D362" s="278"/>
      <c r="E362" s="278"/>
      <c r="F362" s="278"/>
      <c r="G362" s="278"/>
      <c r="H362" s="278"/>
      <c r="I362" s="27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278"/>
      <c r="AC362" s="8"/>
      <c r="AD362" s="8"/>
      <c r="AE362" s="8"/>
    </row>
    <row r="363" ht="13.5" customHeight="1">
      <c r="A363" s="8"/>
      <c r="B363" s="278"/>
      <c r="C363" s="8"/>
      <c r="D363" s="278"/>
      <c r="E363" s="278"/>
      <c r="F363" s="278"/>
      <c r="G363" s="278"/>
      <c r="H363" s="278"/>
      <c r="I363" s="27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278"/>
      <c r="AC363" s="8"/>
      <c r="AD363" s="8"/>
      <c r="AE363" s="8"/>
    </row>
    <row r="364" ht="13.5" customHeight="1">
      <c r="A364" s="8"/>
      <c r="B364" s="278"/>
      <c r="C364" s="8"/>
      <c r="D364" s="278"/>
      <c r="E364" s="278"/>
      <c r="F364" s="278"/>
      <c r="G364" s="278"/>
      <c r="H364" s="278"/>
      <c r="I364" s="27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278"/>
      <c r="AC364" s="8"/>
      <c r="AD364" s="8"/>
      <c r="AE364" s="8"/>
    </row>
    <row r="365" ht="13.5" customHeight="1">
      <c r="A365" s="8"/>
      <c r="B365" s="278"/>
      <c r="C365" s="8"/>
      <c r="D365" s="278"/>
      <c r="E365" s="278"/>
      <c r="F365" s="278"/>
      <c r="G365" s="278"/>
      <c r="H365" s="278"/>
      <c r="I365" s="27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278"/>
      <c r="AC365" s="8"/>
      <c r="AD365" s="8"/>
      <c r="AE365" s="8"/>
    </row>
    <row r="366" ht="13.5" customHeight="1">
      <c r="A366" s="8"/>
      <c r="B366" s="278"/>
      <c r="C366" s="8"/>
      <c r="D366" s="278"/>
      <c r="E366" s="278"/>
      <c r="F366" s="278"/>
      <c r="G366" s="278"/>
      <c r="H366" s="278"/>
      <c r="I366" s="27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278"/>
      <c r="AC366" s="8"/>
      <c r="AD366" s="8"/>
      <c r="AE366" s="8"/>
    </row>
    <row r="367" ht="13.5" customHeight="1">
      <c r="A367" s="8"/>
      <c r="B367" s="278"/>
      <c r="C367" s="8"/>
      <c r="D367" s="278"/>
      <c r="E367" s="278"/>
      <c r="F367" s="278"/>
      <c r="G367" s="278"/>
      <c r="H367" s="278"/>
      <c r="I367" s="27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278"/>
      <c r="AC367" s="8"/>
      <c r="AD367" s="8"/>
      <c r="AE367" s="8"/>
    </row>
    <row r="368" ht="13.5" customHeight="1">
      <c r="A368" s="8"/>
      <c r="B368" s="278"/>
      <c r="C368" s="8"/>
      <c r="D368" s="278"/>
      <c r="E368" s="278"/>
      <c r="F368" s="278"/>
      <c r="G368" s="278"/>
      <c r="H368" s="278"/>
      <c r="I368" s="27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278"/>
      <c r="AC368" s="8"/>
      <c r="AD368" s="8"/>
      <c r="AE368" s="8"/>
    </row>
    <row r="369" ht="13.5" customHeight="1">
      <c r="A369" s="8"/>
      <c r="B369" s="278"/>
      <c r="C369" s="8"/>
      <c r="D369" s="278"/>
      <c r="E369" s="278"/>
      <c r="F369" s="278"/>
      <c r="G369" s="278"/>
      <c r="H369" s="278"/>
      <c r="I369" s="27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278"/>
      <c r="AC369" s="8"/>
      <c r="AD369" s="8"/>
      <c r="AE369" s="8"/>
    </row>
    <row r="370" ht="13.5" customHeight="1">
      <c r="A370" s="8"/>
      <c r="B370" s="278"/>
      <c r="C370" s="8"/>
      <c r="D370" s="278"/>
      <c r="E370" s="278"/>
      <c r="F370" s="278"/>
      <c r="G370" s="278"/>
      <c r="H370" s="278"/>
      <c r="I370" s="27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278"/>
      <c r="AC370" s="8"/>
      <c r="AD370" s="8"/>
      <c r="AE370" s="8"/>
    </row>
    <row r="371" ht="13.5" customHeight="1">
      <c r="A371" s="8"/>
      <c r="B371" s="278"/>
      <c r="C371" s="8"/>
      <c r="D371" s="278"/>
      <c r="E371" s="278"/>
      <c r="F371" s="278"/>
      <c r="G371" s="278"/>
      <c r="H371" s="278"/>
      <c r="I371" s="27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278"/>
      <c r="AC371" s="8"/>
      <c r="AD371" s="8"/>
      <c r="AE371" s="8"/>
    </row>
    <row r="372" ht="13.5" customHeight="1">
      <c r="A372" s="8"/>
      <c r="B372" s="278"/>
      <c r="C372" s="8"/>
      <c r="D372" s="278"/>
      <c r="E372" s="278"/>
      <c r="F372" s="278"/>
      <c r="G372" s="278"/>
      <c r="H372" s="278"/>
      <c r="I372" s="27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278"/>
      <c r="AC372" s="8"/>
      <c r="AD372" s="8"/>
      <c r="AE372" s="8"/>
    </row>
    <row r="373" ht="13.5" customHeight="1">
      <c r="A373" s="8"/>
      <c r="B373" s="278"/>
      <c r="C373" s="8"/>
      <c r="D373" s="278"/>
      <c r="E373" s="278"/>
      <c r="F373" s="278"/>
      <c r="G373" s="278"/>
      <c r="H373" s="278"/>
      <c r="I373" s="27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278"/>
      <c r="AC373" s="8"/>
      <c r="AD373" s="8"/>
      <c r="AE373" s="8"/>
    </row>
    <row r="374" ht="13.5" customHeight="1">
      <c r="A374" s="8"/>
      <c r="B374" s="278"/>
      <c r="C374" s="8"/>
      <c r="D374" s="278"/>
      <c r="E374" s="278"/>
      <c r="F374" s="278"/>
      <c r="G374" s="278"/>
      <c r="H374" s="278"/>
      <c r="I374" s="27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278"/>
      <c r="AC374" s="8"/>
      <c r="AD374" s="8"/>
      <c r="AE374" s="8"/>
    </row>
    <row r="375" ht="13.5" customHeight="1">
      <c r="A375" s="8"/>
      <c r="B375" s="278"/>
      <c r="C375" s="8"/>
      <c r="D375" s="278"/>
      <c r="E375" s="278"/>
      <c r="F375" s="278"/>
      <c r="G375" s="278"/>
      <c r="H375" s="278"/>
      <c r="I375" s="27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278"/>
      <c r="AC375" s="8"/>
      <c r="AD375" s="8"/>
      <c r="AE375" s="8"/>
    </row>
    <row r="376" ht="13.5" customHeight="1">
      <c r="A376" s="8"/>
      <c r="B376" s="278"/>
      <c r="C376" s="8"/>
      <c r="D376" s="278"/>
      <c r="E376" s="278"/>
      <c r="F376" s="278"/>
      <c r="G376" s="278"/>
      <c r="H376" s="278"/>
      <c r="I376" s="27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278"/>
      <c r="AC376" s="8"/>
      <c r="AD376" s="8"/>
      <c r="AE376" s="8"/>
    </row>
    <row r="377" ht="13.5" customHeight="1">
      <c r="A377" s="8"/>
      <c r="B377" s="278"/>
      <c r="C377" s="8"/>
      <c r="D377" s="278"/>
      <c r="E377" s="278"/>
      <c r="F377" s="278"/>
      <c r="G377" s="278"/>
      <c r="H377" s="278"/>
      <c r="I377" s="27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278"/>
      <c r="AC377" s="8"/>
      <c r="AD377" s="8"/>
      <c r="AE377" s="8"/>
    </row>
    <row r="378" ht="13.5" customHeight="1">
      <c r="A378" s="8"/>
      <c r="B378" s="278"/>
      <c r="C378" s="8"/>
      <c r="D378" s="278"/>
      <c r="E378" s="278"/>
      <c r="F378" s="278"/>
      <c r="G378" s="278"/>
      <c r="H378" s="278"/>
      <c r="I378" s="27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278"/>
      <c r="AC378" s="8"/>
      <c r="AD378" s="8"/>
      <c r="AE378" s="8"/>
    </row>
    <row r="379" ht="13.5" customHeight="1">
      <c r="A379" s="8"/>
      <c r="B379" s="278"/>
      <c r="C379" s="8"/>
      <c r="D379" s="278"/>
      <c r="E379" s="278"/>
      <c r="F379" s="278"/>
      <c r="G379" s="278"/>
      <c r="H379" s="278"/>
      <c r="I379" s="27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278"/>
      <c r="AC379" s="8"/>
      <c r="AD379" s="8"/>
      <c r="AE379" s="8"/>
    </row>
    <row r="380" ht="13.5" customHeight="1">
      <c r="A380" s="8"/>
      <c r="B380" s="278"/>
      <c r="C380" s="8"/>
      <c r="D380" s="278"/>
      <c r="E380" s="278"/>
      <c r="F380" s="278"/>
      <c r="G380" s="278"/>
      <c r="H380" s="278"/>
      <c r="I380" s="27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278"/>
      <c r="AC380" s="8"/>
      <c r="AD380" s="8"/>
      <c r="AE380" s="8"/>
    </row>
    <row r="381" ht="13.5" customHeight="1">
      <c r="A381" s="8"/>
      <c r="B381" s="278"/>
      <c r="C381" s="8"/>
      <c r="D381" s="278"/>
      <c r="E381" s="278"/>
      <c r="F381" s="278"/>
      <c r="G381" s="278"/>
      <c r="H381" s="278"/>
      <c r="I381" s="27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278"/>
      <c r="AC381" s="8"/>
      <c r="AD381" s="8"/>
      <c r="AE381" s="8"/>
    </row>
    <row r="382" ht="13.5" customHeight="1">
      <c r="A382" s="8"/>
      <c r="B382" s="278"/>
      <c r="C382" s="8"/>
      <c r="D382" s="278"/>
      <c r="E382" s="278"/>
      <c r="F382" s="278"/>
      <c r="G382" s="278"/>
      <c r="H382" s="278"/>
      <c r="I382" s="27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278"/>
      <c r="AC382" s="8"/>
      <c r="AD382" s="8"/>
      <c r="AE382" s="8"/>
    </row>
    <row r="383" ht="13.5" customHeight="1">
      <c r="A383" s="8"/>
      <c r="B383" s="278"/>
      <c r="C383" s="8"/>
      <c r="D383" s="278"/>
      <c r="E383" s="278"/>
      <c r="F383" s="278"/>
      <c r="G383" s="278"/>
      <c r="H383" s="278"/>
      <c r="I383" s="27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278"/>
      <c r="AC383" s="8"/>
      <c r="AD383" s="8"/>
      <c r="AE383" s="8"/>
    </row>
    <row r="384" ht="13.5" customHeight="1">
      <c r="A384" s="8"/>
      <c r="B384" s="278"/>
      <c r="C384" s="8"/>
      <c r="D384" s="278"/>
      <c r="E384" s="278"/>
      <c r="F384" s="278"/>
      <c r="G384" s="278"/>
      <c r="H384" s="278"/>
      <c r="I384" s="27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278"/>
      <c r="AC384" s="8"/>
      <c r="AD384" s="8"/>
      <c r="AE384" s="8"/>
    </row>
    <row r="385" ht="13.5" customHeight="1">
      <c r="A385" s="8"/>
      <c r="B385" s="278"/>
      <c r="C385" s="8"/>
      <c r="D385" s="278"/>
      <c r="E385" s="278"/>
      <c r="F385" s="278"/>
      <c r="G385" s="278"/>
      <c r="H385" s="278"/>
      <c r="I385" s="27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278"/>
      <c r="AC385" s="8"/>
      <c r="AD385" s="8"/>
      <c r="AE385" s="8"/>
    </row>
    <row r="386" ht="13.5" customHeight="1">
      <c r="A386" s="8"/>
      <c r="B386" s="278"/>
      <c r="C386" s="8"/>
      <c r="D386" s="278"/>
      <c r="E386" s="278"/>
      <c r="F386" s="278"/>
      <c r="G386" s="278"/>
      <c r="H386" s="278"/>
      <c r="I386" s="27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278"/>
      <c r="AC386" s="8"/>
      <c r="AD386" s="8"/>
      <c r="AE386" s="8"/>
    </row>
    <row r="387" ht="13.5" customHeight="1">
      <c r="A387" s="8"/>
      <c r="B387" s="278"/>
      <c r="C387" s="8"/>
      <c r="D387" s="278"/>
      <c r="E387" s="278"/>
      <c r="F387" s="278"/>
      <c r="G387" s="278"/>
      <c r="H387" s="278"/>
      <c r="I387" s="27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278"/>
      <c r="AC387" s="8"/>
      <c r="AD387" s="8"/>
      <c r="AE387" s="8"/>
    </row>
    <row r="388" ht="13.5" customHeight="1">
      <c r="A388" s="8"/>
      <c r="B388" s="278"/>
      <c r="C388" s="8"/>
      <c r="D388" s="278"/>
      <c r="E388" s="278"/>
      <c r="F388" s="278"/>
      <c r="G388" s="278"/>
      <c r="H388" s="278"/>
      <c r="I388" s="27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278"/>
      <c r="AC388" s="8"/>
      <c r="AD388" s="8"/>
      <c r="AE388" s="8"/>
    </row>
    <row r="389" ht="13.5" customHeight="1">
      <c r="A389" s="8"/>
      <c r="B389" s="278"/>
      <c r="C389" s="8"/>
      <c r="D389" s="278"/>
      <c r="E389" s="278"/>
      <c r="F389" s="278"/>
      <c r="G389" s="278"/>
      <c r="H389" s="278"/>
      <c r="I389" s="27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278"/>
      <c r="AC389" s="8"/>
      <c r="AD389" s="8"/>
      <c r="AE389" s="8"/>
    </row>
    <row r="390" ht="13.5" customHeight="1">
      <c r="A390" s="8"/>
      <c r="B390" s="278"/>
      <c r="C390" s="8"/>
      <c r="D390" s="278"/>
      <c r="E390" s="278"/>
      <c r="F390" s="278"/>
      <c r="G390" s="278"/>
      <c r="H390" s="278"/>
      <c r="I390" s="27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278"/>
      <c r="AC390" s="8"/>
      <c r="AD390" s="8"/>
      <c r="AE390" s="8"/>
    </row>
    <row r="391" ht="13.5" customHeight="1">
      <c r="A391" s="8"/>
      <c r="B391" s="278"/>
      <c r="C391" s="8"/>
      <c r="D391" s="278"/>
      <c r="E391" s="278"/>
      <c r="F391" s="278"/>
      <c r="G391" s="278"/>
      <c r="H391" s="278"/>
      <c r="I391" s="27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278"/>
      <c r="AC391" s="8"/>
      <c r="AD391" s="8"/>
      <c r="AE391" s="8"/>
    </row>
    <row r="392" ht="13.5" customHeight="1">
      <c r="A392" s="8"/>
      <c r="B392" s="278"/>
      <c r="C392" s="8"/>
      <c r="D392" s="278"/>
      <c r="E392" s="278"/>
      <c r="F392" s="278"/>
      <c r="G392" s="278"/>
      <c r="H392" s="278"/>
      <c r="I392" s="27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278"/>
      <c r="AC392" s="8"/>
      <c r="AD392" s="8"/>
      <c r="AE392" s="8"/>
    </row>
    <row r="393" ht="13.5" customHeight="1">
      <c r="A393" s="8"/>
      <c r="B393" s="278"/>
      <c r="C393" s="8"/>
      <c r="D393" s="278"/>
      <c r="E393" s="278"/>
      <c r="F393" s="278"/>
      <c r="G393" s="278"/>
      <c r="H393" s="278"/>
      <c r="I393" s="27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278"/>
      <c r="AC393" s="8"/>
      <c r="AD393" s="8"/>
      <c r="AE393" s="8"/>
    </row>
    <row r="394" ht="13.5" customHeight="1">
      <c r="A394" s="8"/>
      <c r="B394" s="278"/>
      <c r="C394" s="8"/>
      <c r="D394" s="278"/>
      <c r="E394" s="278"/>
      <c r="F394" s="278"/>
      <c r="G394" s="278"/>
      <c r="H394" s="278"/>
      <c r="I394" s="27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278"/>
      <c r="AC394" s="8"/>
      <c r="AD394" s="8"/>
      <c r="AE394" s="8"/>
    </row>
    <row r="395" ht="13.5" customHeight="1">
      <c r="A395" s="8"/>
      <c r="B395" s="278"/>
      <c r="C395" s="8"/>
      <c r="D395" s="278"/>
      <c r="E395" s="278"/>
      <c r="F395" s="278"/>
      <c r="G395" s="278"/>
      <c r="H395" s="278"/>
      <c r="I395" s="27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278"/>
      <c r="AC395" s="8"/>
      <c r="AD395" s="8"/>
      <c r="AE395" s="8"/>
    </row>
    <row r="396" ht="13.5" customHeight="1">
      <c r="A396" s="8"/>
      <c r="B396" s="278"/>
      <c r="C396" s="8"/>
      <c r="D396" s="278"/>
      <c r="E396" s="278"/>
      <c r="F396" s="278"/>
      <c r="G396" s="278"/>
      <c r="H396" s="278"/>
      <c r="I396" s="27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278"/>
      <c r="AC396" s="8"/>
      <c r="AD396" s="8"/>
      <c r="AE396" s="8"/>
    </row>
    <row r="397" ht="13.5" customHeight="1">
      <c r="A397" s="8"/>
      <c r="B397" s="278"/>
      <c r="C397" s="8"/>
      <c r="D397" s="278"/>
      <c r="E397" s="278"/>
      <c r="F397" s="278"/>
      <c r="G397" s="278"/>
      <c r="H397" s="278"/>
      <c r="I397" s="27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278"/>
      <c r="AC397" s="8"/>
      <c r="AD397" s="8"/>
      <c r="AE397" s="8"/>
    </row>
    <row r="398" ht="13.5" customHeight="1">
      <c r="A398" s="8"/>
      <c r="B398" s="278"/>
      <c r="C398" s="8"/>
      <c r="D398" s="278"/>
      <c r="E398" s="278"/>
      <c r="F398" s="278"/>
      <c r="G398" s="278"/>
      <c r="H398" s="278"/>
      <c r="I398" s="27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278"/>
      <c r="AC398" s="8"/>
      <c r="AD398" s="8"/>
      <c r="AE398" s="8"/>
    </row>
    <row r="399" ht="13.5" customHeight="1">
      <c r="A399" s="8"/>
      <c r="B399" s="278"/>
      <c r="C399" s="8"/>
      <c r="D399" s="278"/>
      <c r="E399" s="278"/>
      <c r="F399" s="278"/>
      <c r="G399" s="278"/>
      <c r="H399" s="278"/>
      <c r="I399" s="27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278"/>
      <c r="AC399" s="8"/>
      <c r="AD399" s="8"/>
      <c r="AE399" s="8"/>
    </row>
    <row r="400" ht="13.5" customHeight="1">
      <c r="A400" s="8"/>
      <c r="B400" s="278"/>
      <c r="C400" s="8"/>
      <c r="D400" s="278"/>
      <c r="E400" s="278"/>
      <c r="F400" s="278"/>
      <c r="G400" s="278"/>
      <c r="H400" s="278"/>
      <c r="I400" s="27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278"/>
      <c r="AC400" s="8"/>
      <c r="AD400" s="8"/>
      <c r="AE400" s="8"/>
    </row>
    <row r="401" ht="13.5" customHeight="1">
      <c r="A401" s="8"/>
      <c r="B401" s="278"/>
      <c r="C401" s="8"/>
      <c r="D401" s="278"/>
      <c r="E401" s="278"/>
      <c r="F401" s="278"/>
      <c r="G401" s="278"/>
      <c r="H401" s="278"/>
      <c r="I401" s="27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278"/>
      <c r="AC401" s="8"/>
      <c r="AD401" s="8"/>
      <c r="AE401" s="8"/>
    </row>
    <row r="402" ht="13.5" customHeight="1">
      <c r="A402" s="8"/>
      <c r="B402" s="278"/>
      <c r="C402" s="8"/>
      <c r="D402" s="278"/>
      <c r="E402" s="278"/>
      <c r="F402" s="278"/>
      <c r="G402" s="278"/>
      <c r="H402" s="278"/>
      <c r="I402" s="27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278"/>
      <c r="AC402" s="8"/>
      <c r="AD402" s="8"/>
      <c r="AE402" s="8"/>
    </row>
    <row r="403" ht="13.5" customHeight="1">
      <c r="A403" s="8"/>
      <c r="B403" s="278"/>
      <c r="C403" s="8"/>
      <c r="D403" s="278"/>
      <c r="E403" s="278"/>
      <c r="F403" s="278"/>
      <c r="G403" s="278"/>
      <c r="H403" s="278"/>
      <c r="I403" s="27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278"/>
      <c r="AC403" s="8"/>
      <c r="AD403" s="8"/>
      <c r="AE403" s="8"/>
    </row>
    <row r="404" ht="13.5" customHeight="1">
      <c r="A404" s="8"/>
      <c r="B404" s="278"/>
      <c r="C404" s="8"/>
      <c r="D404" s="278"/>
      <c r="E404" s="278"/>
      <c r="F404" s="278"/>
      <c r="G404" s="278"/>
      <c r="H404" s="278"/>
      <c r="I404" s="27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278"/>
      <c r="AC404" s="8"/>
      <c r="AD404" s="8"/>
      <c r="AE404" s="8"/>
    </row>
    <row r="405" ht="13.5" customHeight="1">
      <c r="A405" s="8"/>
      <c r="B405" s="278"/>
      <c r="C405" s="8"/>
      <c r="D405" s="278"/>
      <c r="E405" s="278"/>
      <c r="F405" s="278"/>
      <c r="G405" s="278"/>
      <c r="H405" s="278"/>
      <c r="I405" s="27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278"/>
      <c r="AC405" s="8"/>
      <c r="AD405" s="8"/>
      <c r="AE405" s="8"/>
    </row>
    <row r="406" ht="13.5" customHeight="1">
      <c r="A406" s="8"/>
      <c r="B406" s="278"/>
      <c r="C406" s="8"/>
      <c r="D406" s="278"/>
      <c r="E406" s="278"/>
      <c r="F406" s="278"/>
      <c r="G406" s="278"/>
      <c r="H406" s="278"/>
      <c r="I406" s="27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278"/>
      <c r="AC406" s="8"/>
      <c r="AD406" s="8"/>
      <c r="AE406" s="8"/>
    </row>
    <row r="407" ht="13.5" customHeight="1">
      <c r="A407" s="8"/>
      <c r="B407" s="278"/>
      <c r="C407" s="8"/>
      <c r="D407" s="278"/>
      <c r="E407" s="278"/>
      <c r="F407" s="278"/>
      <c r="G407" s="278"/>
      <c r="H407" s="278"/>
      <c r="I407" s="27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278"/>
      <c r="AC407" s="8"/>
      <c r="AD407" s="8"/>
      <c r="AE407" s="8"/>
    </row>
    <row r="408" ht="13.5" customHeight="1">
      <c r="A408" s="8"/>
      <c r="B408" s="278"/>
      <c r="C408" s="8"/>
      <c r="D408" s="278"/>
      <c r="E408" s="278"/>
      <c r="F408" s="278"/>
      <c r="G408" s="278"/>
      <c r="H408" s="278"/>
      <c r="I408" s="27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278"/>
      <c r="AC408" s="8"/>
      <c r="AD408" s="8"/>
      <c r="AE408" s="8"/>
    </row>
    <row r="409" ht="13.5" customHeight="1">
      <c r="A409" s="8"/>
      <c r="B409" s="278"/>
      <c r="C409" s="8"/>
      <c r="D409" s="278"/>
      <c r="E409" s="278"/>
      <c r="F409" s="278"/>
      <c r="G409" s="278"/>
      <c r="H409" s="278"/>
      <c r="I409" s="27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278"/>
      <c r="AC409" s="8"/>
      <c r="AD409" s="8"/>
      <c r="AE409" s="8"/>
    </row>
    <row r="410" ht="13.5" customHeight="1">
      <c r="A410" s="8"/>
      <c r="B410" s="278"/>
      <c r="C410" s="8"/>
      <c r="D410" s="278"/>
      <c r="E410" s="278"/>
      <c r="F410" s="278"/>
      <c r="G410" s="278"/>
      <c r="H410" s="278"/>
      <c r="I410" s="27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278"/>
      <c r="AC410" s="8"/>
      <c r="AD410" s="8"/>
      <c r="AE410" s="8"/>
    </row>
    <row r="411" ht="13.5" customHeight="1">
      <c r="A411" s="8"/>
      <c r="B411" s="278"/>
      <c r="C411" s="8"/>
      <c r="D411" s="278"/>
      <c r="E411" s="278"/>
      <c r="F411" s="278"/>
      <c r="G411" s="278"/>
      <c r="H411" s="278"/>
      <c r="I411" s="27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278"/>
      <c r="AC411" s="8"/>
      <c r="AD411" s="8"/>
      <c r="AE411" s="8"/>
    </row>
    <row r="412" ht="13.5" customHeight="1">
      <c r="A412" s="8"/>
      <c r="B412" s="278"/>
      <c r="C412" s="8"/>
      <c r="D412" s="278"/>
      <c r="E412" s="278"/>
      <c r="F412" s="278"/>
      <c r="G412" s="278"/>
      <c r="H412" s="278"/>
      <c r="I412" s="27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278"/>
      <c r="AC412" s="8"/>
      <c r="AD412" s="8"/>
      <c r="AE412" s="8"/>
    </row>
    <row r="413" ht="13.5" customHeight="1">
      <c r="A413" s="8"/>
      <c r="B413" s="278"/>
      <c r="C413" s="8"/>
      <c r="D413" s="278"/>
      <c r="E413" s="278"/>
      <c r="F413" s="278"/>
      <c r="G413" s="278"/>
      <c r="H413" s="278"/>
      <c r="I413" s="27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278"/>
      <c r="AC413" s="8"/>
      <c r="AD413" s="8"/>
      <c r="AE413" s="8"/>
    </row>
    <row r="414" ht="13.5" customHeight="1">
      <c r="A414" s="8"/>
      <c r="B414" s="278"/>
      <c r="C414" s="8"/>
      <c r="D414" s="278"/>
      <c r="E414" s="278"/>
      <c r="F414" s="278"/>
      <c r="G414" s="278"/>
      <c r="H414" s="278"/>
      <c r="I414" s="27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278"/>
      <c r="AC414" s="8"/>
      <c r="AD414" s="8"/>
      <c r="AE414" s="8"/>
    </row>
    <row r="415" ht="13.5" customHeight="1">
      <c r="A415" s="8"/>
      <c r="B415" s="278"/>
      <c r="C415" s="8"/>
      <c r="D415" s="278"/>
      <c r="E415" s="278"/>
      <c r="F415" s="278"/>
      <c r="G415" s="278"/>
      <c r="H415" s="278"/>
      <c r="I415" s="27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278"/>
      <c r="AC415" s="8"/>
      <c r="AD415" s="8"/>
      <c r="AE415" s="8"/>
    </row>
    <row r="416" ht="13.5" customHeight="1">
      <c r="A416" s="8"/>
      <c r="B416" s="278"/>
      <c r="C416" s="8"/>
      <c r="D416" s="278"/>
      <c r="E416" s="278"/>
      <c r="F416" s="278"/>
      <c r="G416" s="278"/>
      <c r="H416" s="278"/>
      <c r="I416" s="27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278"/>
      <c r="AC416" s="8"/>
      <c r="AD416" s="8"/>
      <c r="AE416" s="8"/>
    </row>
    <row r="417" ht="13.5" customHeight="1">
      <c r="A417" s="8"/>
      <c r="B417" s="278"/>
      <c r="C417" s="8"/>
      <c r="D417" s="278"/>
      <c r="E417" s="278"/>
      <c r="F417" s="278"/>
      <c r="G417" s="278"/>
      <c r="H417" s="278"/>
      <c r="I417" s="27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278"/>
      <c r="AC417" s="8"/>
      <c r="AD417" s="8"/>
      <c r="AE417" s="8"/>
    </row>
    <row r="418" ht="13.5" customHeight="1">
      <c r="A418" s="8"/>
      <c r="B418" s="278"/>
      <c r="C418" s="8"/>
      <c r="D418" s="278"/>
      <c r="E418" s="278"/>
      <c r="F418" s="278"/>
      <c r="G418" s="278"/>
      <c r="H418" s="278"/>
      <c r="I418" s="27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278"/>
      <c r="AC418" s="8"/>
      <c r="AD418" s="8"/>
      <c r="AE418" s="8"/>
    </row>
    <row r="419" ht="13.5" customHeight="1">
      <c r="A419" s="8"/>
      <c r="B419" s="278"/>
      <c r="C419" s="8"/>
      <c r="D419" s="278"/>
      <c r="E419" s="278"/>
      <c r="F419" s="278"/>
      <c r="G419" s="278"/>
      <c r="H419" s="278"/>
      <c r="I419" s="27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278"/>
      <c r="AC419" s="8"/>
      <c r="AD419" s="8"/>
      <c r="AE419" s="8"/>
    </row>
    <row r="420" ht="13.5" customHeight="1">
      <c r="A420" s="8"/>
      <c r="B420" s="278"/>
      <c r="C420" s="8"/>
      <c r="D420" s="278"/>
      <c r="E420" s="278"/>
      <c r="F420" s="278"/>
      <c r="G420" s="278"/>
      <c r="H420" s="278"/>
      <c r="I420" s="27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278"/>
      <c r="AC420" s="8"/>
      <c r="AD420" s="8"/>
      <c r="AE420" s="8"/>
    </row>
    <row r="421" ht="13.5" customHeight="1">
      <c r="A421" s="8"/>
      <c r="B421" s="278"/>
      <c r="C421" s="8"/>
      <c r="D421" s="278"/>
      <c r="E421" s="278"/>
      <c r="F421" s="278"/>
      <c r="G421" s="278"/>
      <c r="H421" s="278"/>
      <c r="I421" s="27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278"/>
      <c r="AC421" s="8"/>
      <c r="AD421" s="8"/>
      <c r="AE421" s="8"/>
    </row>
    <row r="422" ht="13.5" customHeight="1">
      <c r="A422" s="8"/>
      <c r="B422" s="278"/>
      <c r="C422" s="8"/>
      <c r="D422" s="278"/>
      <c r="E422" s="278"/>
      <c r="F422" s="278"/>
      <c r="G422" s="278"/>
      <c r="H422" s="278"/>
      <c r="I422" s="27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278"/>
      <c r="AC422" s="8"/>
      <c r="AD422" s="8"/>
      <c r="AE422" s="8"/>
    </row>
    <row r="423" ht="13.5" customHeight="1">
      <c r="A423" s="8"/>
      <c r="B423" s="278"/>
      <c r="C423" s="8"/>
      <c r="D423" s="278"/>
      <c r="E423" s="278"/>
      <c r="F423" s="278"/>
      <c r="G423" s="278"/>
      <c r="H423" s="278"/>
      <c r="I423" s="27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278"/>
      <c r="AC423" s="8"/>
      <c r="AD423" s="8"/>
      <c r="AE423" s="8"/>
    </row>
    <row r="424" ht="13.5" customHeight="1">
      <c r="A424" s="8"/>
      <c r="B424" s="278"/>
      <c r="C424" s="8"/>
      <c r="D424" s="278"/>
      <c r="E424" s="278"/>
      <c r="F424" s="278"/>
      <c r="G424" s="278"/>
      <c r="H424" s="278"/>
      <c r="I424" s="27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278"/>
      <c r="AC424" s="8"/>
      <c r="AD424" s="8"/>
      <c r="AE424" s="8"/>
    </row>
    <row r="425" ht="13.5" customHeight="1">
      <c r="A425" s="8"/>
      <c r="B425" s="278"/>
      <c r="C425" s="8"/>
      <c r="D425" s="278"/>
      <c r="E425" s="278"/>
      <c r="F425" s="278"/>
      <c r="G425" s="278"/>
      <c r="H425" s="278"/>
      <c r="I425" s="27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278"/>
      <c r="AC425" s="8"/>
      <c r="AD425" s="8"/>
      <c r="AE425" s="8"/>
    </row>
    <row r="426" ht="13.5" customHeight="1">
      <c r="A426" s="8"/>
      <c r="B426" s="278"/>
      <c r="C426" s="8"/>
      <c r="D426" s="278"/>
      <c r="E426" s="278"/>
      <c r="F426" s="278"/>
      <c r="G426" s="278"/>
      <c r="H426" s="278"/>
      <c r="I426" s="27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278"/>
      <c r="AC426" s="8"/>
      <c r="AD426" s="8"/>
      <c r="AE426" s="8"/>
    </row>
    <row r="427" ht="13.5" customHeight="1">
      <c r="A427" s="8"/>
      <c r="B427" s="278"/>
      <c r="C427" s="8"/>
      <c r="D427" s="278"/>
      <c r="E427" s="278"/>
      <c r="F427" s="278"/>
      <c r="G427" s="278"/>
      <c r="H427" s="278"/>
      <c r="I427" s="27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278"/>
      <c r="AC427" s="8"/>
      <c r="AD427" s="8"/>
      <c r="AE427" s="8"/>
    </row>
    <row r="428" ht="13.5" customHeight="1">
      <c r="A428" s="8"/>
      <c r="B428" s="278"/>
      <c r="C428" s="8"/>
      <c r="D428" s="278"/>
      <c r="E428" s="278"/>
      <c r="F428" s="278"/>
      <c r="G428" s="278"/>
      <c r="H428" s="278"/>
      <c r="I428" s="27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278"/>
      <c r="AC428" s="8"/>
      <c r="AD428" s="8"/>
      <c r="AE428" s="8"/>
    </row>
    <row r="429" ht="13.5" customHeight="1">
      <c r="A429" s="8"/>
      <c r="B429" s="278"/>
      <c r="C429" s="8"/>
      <c r="D429" s="278"/>
      <c r="E429" s="278"/>
      <c r="F429" s="278"/>
      <c r="G429" s="278"/>
      <c r="H429" s="278"/>
      <c r="I429" s="27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278"/>
      <c r="AC429" s="8"/>
      <c r="AD429" s="8"/>
      <c r="AE429" s="8"/>
    </row>
    <row r="430" ht="13.5" customHeight="1">
      <c r="A430" s="8"/>
      <c r="B430" s="278"/>
      <c r="C430" s="8"/>
      <c r="D430" s="278"/>
      <c r="E430" s="278"/>
      <c r="F430" s="278"/>
      <c r="G430" s="278"/>
      <c r="H430" s="278"/>
      <c r="I430" s="27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278"/>
      <c r="AC430" s="8"/>
      <c r="AD430" s="8"/>
      <c r="AE430" s="8"/>
    </row>
    <row r="431" ht="13.5" customHeight="1">
      <c r="A431" s="8"/>
      <c r="B431" s="278"/>
      <c r="C431" s="8"/>
      <c r="D431" s="278"/>
      <c r="E431" s="278"/>
      <c r="F431" s="278"/>
      <c r="G431" s="278"/>
      <c r="H431" s="278"/>
      <c r="I431" s="27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278"/>
      <c r="AC431" s="8"/>
      <c r="AD431" s="8"/>
      <c r="AE431" s="8"/>
    </row>
    <row r="432" ht="13.5" customHeight="1">
      <c r="A432" s="8"/>
      <c r="B432" s="278"/>
      <c r="C432" s="8"/>
      <c r="D432" s="278"/>
      <c r="E432" s="278"/>
      <c r="F432" s="278"/>
      <c r="G432" s="278"/>
      <c r="H432" s="278"/>
      <c r="I432" s="27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278"/>
      <c r="AC432" s="8"/>
      <c r="AD432" s="8"/>
      <c r="AE432" s="8"/>
    </row>
    <row r="433" ht="13.5" customHeight="1">
      <c r="A433" s="8"/>
      <c r="B433" s="278"/>
      <c r="C433" s="8"/>
      <c r="D433" s="278"/>
      <c r="E433" s="278"/>
      <c r="F433" s="278"/>
      <c r="G433" s="278"/>
      <c r="H433" s="278"/>
      <c r="I433" s="27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278"/>
      <c r="AC433" s="8"/>
      <c r="AD433" s="8"/>
      <c r="AE433" s="8"/>
    </row>
    <row r="434" ht="13.5" customHeight="1">
      <c r="A434" s="8"/>
      <c r="B434" s="278"/>
      <c r="C434" s="8"/>
      <c r="D434" s="278"/>
      <c r="E434" s="278"/>
      <c r="F434" s="278"/>
      <c r="G434" s="278"/>
      <c r="H434" s="278"/>
      <c r="I434" s="27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278"/>
      <c r="AC434" s="8"/>
      <c r="AD434" s="8"/>
      <c r="AE434" s="8"/>
    </row>
    <row r="435" ht="13.5" customHeight="1">
      <c r="A435" s="8"/>
      <c r="B435" s="278"/>
      <c r="C435" s="8"/>
      <c r="D435" s="278"/>
      <c r="E435" s="278"/>
      <c r="F435" s="278"/>
      <c r="G435" s="278"/>
      <c r="H435" s="278"/>
      <c r="I435" s="27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278"/>
      <c r="AC435" s="8"/>
      <c r="AD435" s="8"/>
      <c r="AE435" s="8"/>
    </row>
    <row r="436" ht="13.5" customHeight="1">
      <c r="A436" s="8"/>
      <c r="B436" s="278"/>
      <c r="C436" s="8"/>
      <c r="D436" s="278"/>
      <c r="E436" s="278"/>
      <c r="F436" s="278"/>
      <c r="G436" s="278"/>
      <c r="H436" s="278"/>
      <c r="I436" s="27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278"/>
      <c r="AC436" s="8"/>
      <c r="AD436" s="8"/>
      <c r="AE436" s="8"/>
    </row>
    <row r="437" ht="13.5" customHeight="1">
      <c r="A437" s="8"/>
      <c r="B437" s="278"/>
      <c r="C437" s="8"/>
      <c r="D437" s="278"/>
      <c r="E437" s="278"/>
      <c r="F437" s="278"/>
      <c r="G437" s="278"/>
      <c r="H437" s="278"/>
      <c r="I437" s="27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278"/>
      <c r="AC437" s="8"/>
      <c r="AD437" s="8"/>
      <c r="AE437" s="8"/>
    </row>
    <row r="438" ht="13.5" customHeight="1">
      <c r="A438" s="8"/>
      <c r="B438" s="278"/>
      <c r="C438" s="8"/>
      <c r="D438" s="278"/>
      <c r="E438" s="278"/>
      <c r="F438" s="278"/>
      <c r="G438" s="278"/>
      <c r="H438" s="278"/>
      <c r="I438" s="27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278"/>
      <c r="AC438" s="8"/>
      <c r="AD438" s="8"/>
      <c r="AE438" s="8"/>
    </row>
    <row r="439" ht="13.5" customHeight="1">
      <c r="A439" s="8"/>
      <c r="B439" s="278"/>
      <c r="C439" s="8"/>
      <c r="D439" s="278"/>
      <c r="E439" s="278"/>
      <c r="F439" s="278"/>
      <c r="G439" s="278"/>
      <c r="H439" s="278"/>
      <c r="I439" s="27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278"/>
      <c r="AC439" s="8"/>
      <c r="AD439" s="8"/>
      <c r="AE439" s="8"/>
    </row>
    <row r="440" ht="13.5" customHeight="1">
      <c r="A440" s="8"/>
      <c r="B440" s="278"/>
      <c r="C440" s="8"/>
      <c r="D440" s="278"/>
      <c r="E440" s="278"/>
      <c r="F440" s="278"/>
      <c r="G440" s="278"/>
      <c r="H440" s="278"/>
      <c r="I440" s="27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278"/>
      <c r="AC440" s="8"/>
      <c r="AD440" s="8"/>
      <c r="AE440" s="8"/>
    </row>
    <row r="441" ht="13.5" customHeight="1">
      <c r="A441" s="8"/>
      <c r="B441" s="278"/>
      <c r="C441" s="8"/>
      <c r="D441" s="278"/>
      <c r="E441" s="278"/>
      <c r="F441" s="278"/>
      <c r="G441" s="278"/>
      <c r="H441" s="278"/>
      <c r="I441" s="27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278"/>
      <c r="AC441" s="8"/>
      <c r="AD441" s="8"/>
      <c r="AE441" s="8"/>
    </row>
    <row r="442" ht="13.5" customHeight="1">
      <c r="A442" s="8"/>
      <c r="B442" s="278"/>
      <c r="C442" s="8"/>
      <c r="D442" s="278"/>
      <c r="E442" s="278"/>
      <c r="F442" s="278"/>
      <c r="G442" s="278"/>
      <c r="H442" s="278"/>
      <c r="I442" s="27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278"/>
      <c r="AC442" s="8"/>
      <c r="AD442" s="8"/>
      <c r="AE442" s="8"/>
    </row>
    <row r="443" ht="13.5" customHeight="1">
      <c r="A443" s="8"/>
      <c r="B443" s="278"/>
      <c r="C443" s="8"/>
      <c r="D443" s="278"/>
      <c r="E443" s="278"/>
      <c r="F443" s="278"/>
      <c r="G443" s="278"/>
      <c r="H443" s="278"/>
      <c r="I443" s="27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278"/>
      <c r="AC443" s="8"/>
      <c r="AD443" s="8"/>
      <c r="AE443" s="8"/>
    </row>
    <row r="444" ht="13.5" customHeight="1">
      <c r="A444" s="8"/>
      <c r="B444" s="278"/>
      <c r="C444" s="8"/>
      <c r="D444" s="278"/>
      <c r="E444" s="278"/>
      <c r="F444" s="278"/>
      <c r="G444" s="278"/>
      <c r="H444" s="278"/>
      <c r="I444" s="27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278"/>
      <c r="AC444" s="8"/>
      <c r="AD444" s="8"/>
      <c r="AE444" s="8"/>
    </row>
    <row r="445" ht="13.5" customHeight="1">
      <c r="A445" s="8"/>
      <c r="B445" s="278"/>
      <c r="C445" s="8"/>
      <c r="D445" s="278"/>
      <c r="E445" s="278"/>
      <c r="F445" s="278"/>
      <c r="G445" s="278"/>
      <c r="H445" s="278"/>
      <c r="I445" s="27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278"/>
      <c r="AC445" s="8"/>
      <c r="AD445" s="8"/>
      <c r="AE445" s="8"/>
    </row>
    <row r="446" ht="13.5" customHeight="1">
      <c r="A446" s="8"/>
      <c r="B446" s="278"/>
      <c r="C446" s="8"/>
      <c r="D446" s="278"/>
      <c r="E446" s="278"/>
      <c r="F446" s="278"/>
      <c r="G446" s="278"/>
      <c r="H446" s="278"/>
      <c r="I446" s="27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278"/>
      <c r="AC446" s="8"/>
      <c r="AD446" s="8"/>
      <c r="AE446" s="8"/>
    </row>
    <row r="447" ht="13.5" customHeight="1">
      <c r="A447" s="8"/>
      <c r="B447" s="278"/>
      <c r="C447" s="8"/>
      <c r="D447" s="278"/>
      <c r="E447" s="278"/>
      <c r="F447" s="278"/>
      <c r="G447" s="278"/>
      <c r="H447" s="278"/>
      <c r="I447" s="27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278"/>
      <c r="AC447" s="8"/>
      <c r="AD447" s="8"/>
      <c r="AE447" s="8"/>
    </row>
    <row r="448" ht="13.5" customHeight="1">
      <c r="A448" s="8"/>
      <c r="B448" s="278"/>
      <c r="C448" s="8"/>
      <c r="D448" s="278"/>
      <c r="E448" s="278"/>
      <c r="F448" s="278"/>
      <c r="G448" s="278"/>
      <c r="H448" s="278"/>
      <c r="I448" s="27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278"/>
      <c r="AC448" s="8"/>
      <c r="AD448" s="8"/>
      <c r="AE448" s="8"/>
    </row>
    <row r="449" ht="13.5" customHeight="1">
      <c r="A449" s="8"/>
      <c r="B449" s="278"/>
      <c r="C449" s="8"/>
      <c r="D449" s="278"/>
      <c r="E449" s="278"/>
      <c r="F449" s="278"/>
      <c r="G449" s="278"/>
      <c r="H449" s="278"/>
      <c r="I449" s="27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278"/>
      <c r="AC449" s="8"/>
      <c r="AD449" s="8"/>
      <c r="AE449" s="8"/>
    </row>
    <row r="450" ht="13.5" customHeight="1">
      <c r="A450" s="8"/>
      <c r="B450" s="278"/>
      <c r="C450" s="8"/>
      <c r="D450" s="278"/>
      <c r="E450" s="278"/>
      <c r="F450" s="278"/>
      <c r="G450" s="278"/>
      <c r="H450" s="278"/>
      <c r="I450" s="27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278"/>
      <c r="AC450" s="8"/>
      <c r="AD450" s="8"/>
      <c r="AE450" s="8"/>
    </row>
    <row r="451" ht="13.5" customHeight="1">
      <c r="A451" s="8"/>
      <c r="B451" s="278"/>
      <c r="C451" s="8"/>
      <c r="D451" s="278"/>
      <c r="E451" s="278"/>
      <c r="F451" s="278"/>
      <c r="G451" s="278"/>
      <c r="H451" s="278"/>
      <c r="I451" s="27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278"/>
      <c r="AC451" s="8"/>
      <c r="AD451" s="8"/>
      <c r="AE451" s="8"/>
    </row>
    <row r="452" ht="13.5" customHeight="1">
      <c r="A452" s="8"/>
      <c r="B452" s="278"/>
      <c r="C452" s="8"/>
      <c r="D452" s="278"/>
      <c r="E452" s="278"/>
      <c r="F452" s="278"/>
      <c r="G452" s="278"/>
      <c r="H452" s="278"/>
      <c r="I452" s="27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278"/>
      <c r="AC452" s="8"/>
      <c r="AD452" s="8"/>
      <c r="AE452" s="8"/>
    </row>
    <row r="453" ht="13.5" customHeight="1">
      <c r="A453" s="8"/>
      <c r="B453" s="278"/>
      <c r="C453" s="8"/>
      <c r="D453" s="278"/>
      <c r="E453" s="278"/>
      <c r="F453" s="278"/>
      <c r="G453" s="278"/>
      <c r="H453" s="278"/>
      <c r="I453" s="27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278"/>
      <c r="AC453" s="8"/>
      <c r="AD453" s="8"/>
      <c r="AE453" s="8"/>
    </row>
    <row r="454" ht="13.5" customHeight="1">
      <c r="A454" s="8"/>
      <c r="B454" s="278"/>
      <c r="C454" s="8"/>
      <c r="D454" s="278"/>
      <c r="E454" s="278"/>
      <c r="F454" s="278"/>
      <c r="G454" s="278"/>
      <c r="H454" s="278"/>
      <c r="I454" s="27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278"/>
      <c r="AC454" s="8"/>
      <c r="AD454" s="8"/>
      <c r="AE454" s="8"/>
    </row>
    <row r="455" ht="13.5" customHeight="1">
      <c r="A455" s="8"/>
      <c r="B455" s="278"/>
      <c r="C455" s="8"/>
      <c r="D455" s="278"/>
      <c r="E455" s="278"/>
      <c r="F455" s="278"/>
      <c r="G455" s="278"/>
      <c r="H455" s="278"/>
      <c r="I455" s="27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278"/>
      <c r="AC455" s="8"/>
      <c r="AD455" s="8"/>
      <c r="AE455" s="8"/>
    </row>
    <row r="456" ht="13.5" customHeight="1">
      <c r="A456" s="8"/>
      <c r="B456" s="278"/>
      <c r="C456" s="8"/>
      <c r="D456" s="278"/>
      <c r="E456" s="278"/>
      <c r="F456" s="278"/>
      <c r="G456" s="278"/>
      <c r="H456" s="278"/>
      <c r="I456" s="27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278"/>
      <c r="AC456" s="8"/>
      <c r="AD456" s="8"/>
      <c r="AE456" s="8"/>
    </row>
    <row r="457" ht="13.5" customHeight="1">
      <c r="A457" s="8"/>
      <c r="B457" s="278"/>
      <c r="C457" s="8"/>
      <c r="D457" s="278"/>
      <c r="E457" s="278"/>
      <c r="F457" s="278"/>
      <c r="G457" s="278"/>
      <c r="H457" s="278"/>
      <c r="I457" s="27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278"/>
      <c r="AC457" s="8"/>
      <c r="AD457" s="8"/>
      <c r="AE457" s="8"/>
    </row>
    <row r="458" ht="13.5" customHeight="1">
      <c r="A458" s="8"/>
      <c r="B458" s="278"/>
      <c r="C458" s="8"/>
      <c r="D458" s="278"/>
      <c r="E458" s="278"/>
      <c r="F458" s="278"/>
      <c r="G458" s="278"/>
      <c r="H458" s="278"/>
      <c r="I458" s="27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278"/>
      <c r="AC458" s="8"/>
      <c r="AD458" s="8"/>
      <c r="AE458" s="8"/>
    </row>
    <row r="459" ht="13.5" customHeight="1">
      <c r="A459" s="8"/>
      <c r="B459" s="278"/>
      <c r="C459" s="8"/>
      <c r="D459" s="278"/>
      <c r="E459" s="278"/>
      <c r="F459" s="278"/>
      <c r="G459" s="278"/>
      <c r="H459" s="278"/>
      <c r="I459" s="27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278"/>
      <c r="AC459" s="8"/>
      <c r="AD459" s="8"/>
      <c r="AE459" s="8"/>
    </row>
    <row r="460" ht="13.5" customHeight="1">
      <c r="A460" s="8"/>
      <c r="B460" s="278"/>
      <c r="C460" s="8"/>
      <c r="D460" s="278"/>
      <c r="E460" s="278"/>
      <c r="F460" s="278"/>
      <c r="G460" s="278"/>
      <c r="H460" s="278"/>
      <c r="I460" s="27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278"/>
      <c r="AC460" s="8"/>
      <c r="AD460" s="8"/>
      <c r="AE460" s="8"/>
    </row>
    <row r="461" ht="13.5" customHeight="1">
      <c r="A461" s="8"/>
      <c r="B461" s="278"/>
      <c r="C461" s="8"/>
      <c r="D461" s="278"/>
      <c r="E461" s="278"/>
      <c r="F461" s="278"/>
      <c r="G461" s="278"/>
      <c r="H461" s="278"/>
      <c r="I461" s="27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278"/>
      <c r="AC461" s="8"/>
      <c r="AD461" s="8"/>
      <c r="AE461" s="8"/>
    </row>
    <row r="462" ht="13.5" customHeight="1">
      <c r="A462" s="8"/>
      <c r="B462" s="278"/>
      <c r="C462" s="8"/>
      <c r="D462" s="278"/>
      <c r="E462" s="278"/>
      <c r="F462" s="278"/>
      <c r="G462" s="278"/>
      <c r="H462" s="278"/>
      <c r="I462" s="27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278"/>
      <c r="AC462" s="8"/>
      <c r="AD462" s="8"/>
      <c r="AE462" s="8"/>
    </row>
    <row r="463" ht="13.5" customHeight="1">
      <c r="A463" s="8"/>
      <c r="B463" s="278"/>
      <c r="C463" s="8"/>
      <c r="D463" s="278"/>
      <c r="E463" s="278"/>
      <c r="F463" s="278"/>
      <c r="G463" s="278"/>
      <c r="H463" s="278"/>
      <c r="I463" s="27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278"/>
      <c r="AC463" s="8"/>
      <c r="AD463" s="8"/>
      <c r="AE463" s="8"/>
    </row>
    <row r="464" ht="13.5" customHeight="1">
      <c r="A464" s="8"/>
      <c r="B464" s="278"/>
      <c r="C464" s="8"/>
      <c r="D464" s="278"/>
      <c r="E464" s="278"/>
      <c r="F464" s="278"/>
      <c r="G464" s="278"/>
      <c r="H464" s="278"/>
      <c r="I464" s="27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278"/>
      <c r="AC464" s="8"/>
      <c r="AD464" s="8"/>
      <c r="AE464" s="8"/>
    </row>
    <row r="465" ht="13.5" customHeight="1">
      <c r="A465" s="8"/>
      <c r="B465" s="278"/>
      <c r="C465" s="8"/>
      <c r="D465" s="278"/>
      <c r="E465" s="278"/>
      <c r="F465" s="278"/>
      <c r="G465" s="278"/>
      <c r="H465" s="278"/>
      <c r="I465" s="27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278"/>
      <c r="AC465" s="8"/>
      <c r="AD465" s="8"/>
      <c r="AE465" s="8"/>
    </row>
    <row r="466" ht="13.5" customHeight="1">
      <c r="A466" s="8"/>
      <c r="B466" s="278"/>
      <c r="C466" s="8"/>
      <c r="D466" s="278"/>
      <c r="E466" s="278"/>
      <c r="F466" s="278"/>
      <c r="G466" s="278"/>
      <c r="H466" s="278"/>
      <c r="I466" s="27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278"/>
      <c r="AC466" s="8"/>
      <c r="AD466" s="8"/>
      <c r="AE466" s="8"/>
    </row>
    <row r="467" ht="13.5" customHeight="1">
      <c r="A467" s="8"/>
      <c r="B467" s="278"/>
      <c r="C467" s="8"/>
      <c r="D467" s="278"/>
      <c r="E467" s="278"/>
      <c r="F467" s="278"/>
      <c r="G467" s="278"/>
      <c r="H467" s="278"/>
      <c r="I467" s="27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278"/>
      <c r="AC467" s="8"/>
      <c r="AD467" s="8"/>
      <c r="AE467" s="8"/>
    </row>
    <row r="468" ht="13.5" customHeight="1">
      <c r="A468" s="8"/>
      <c r="B468" s="278"/>
      <c r="C468" s="8"/>
      <c r="D468" s="278"/>
      <c r="E468" s="278"/>
      <c r="F468" s="278"/>
      <c r="G468" s="278"/>
      <c r="H468" s="278"/>
      <c r="I468" s="27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278"/>
      <c r="AC468" s="8"/>
      <c r="AD468" s="8"/>
      <c r="AE468" s="8"/>
    </row>
    <row r="469" ht="13.5" customHeight="1">
      <c r="A469" s="8"/>
      <c r="B469" s="278"/>
      <c r="C469" s="8"/>
      <c r="D469" s="278"/>
      <c r="E469" s="278"/>
      <c r="F469" s="278"/>
      <c r="G469" s="278"/>
      <c r="H469" s="278"/>
      <c r="I469" s="27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278"/>
      <c r="AC469" s="8"/>
      <c r="AD469" s="8"/>
      <c r="AE469" s="8"/>
    </row>
    <row r="470" ht="13.5" customHeight="1">
      <c r="A470" s="8"/>
      <c r="B470" s="278"/>
      <c r="C470" s="8"/>
      <c r="D470" s="278"/>
      <c r="E470" s="278"/>
      <c r="F470" s="278"/>
      <c r="G470" s="278"/>
      <c r="H470" s="278"/>
      <c r="I470" s="27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278"/>
      <c r="AC470" s="8"/>
      <c r="AD470" s="8"/>
      <c r="AE470" s="8"/>
    </row>
    <row r="471" ht="13.5" customHeight="1">
      <c r="A471" s="8"/>
      <c r="B471" s="278"/>
      <c r="C471" s="8"/>
      <c r="D471" s="278"/>
      <c r="E471" s="278"/>
      <c r="F471" s="278"/>
      <c r="G471" s="278"/>
      <c r="H471" s="278"/>
      <c r="I471" s="27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278"/>
      <c r="AC471" s="8"/>
      <c r="AD471" s="8"/>
      <c r="AE471" s="8"/>
    </row>
    <row r="472" ht="13.5" customHeight="1">
      <c r="A472" s="8"/>
      <c r="B472" s="278"/>
      <c r="C472" s="8"/>
      <c r="D472" s="278"/>
      <c r="E472" s="278"/>
      <c r="F472" s="278"/>
      <c r="G472" s="278"/>
      <c r="H472" s="278"/>
      <c r="I472" s="27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278"/>
      <c r="AC472" s="8"/>
      <c r="AD472" s="8"/>
      <c r="AE472" s="8"/>
    </row>
    <row r="473" ht="13.5" customHeight="1">
      <c r="A473" s="8"/>
      <c r="B473" s="278"/>
      <c r="C473" s="8"/>
      <c r="D473" s="278"/>
      <c r="E473" s="278"/>
      <c r="F473" s="278"/>
      <c r="G473" s="278"/>
      <c r="H473" s="278"/>
      <c r="I473" s="27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278"/>
      <c r="AC473" s="8"/>
      <c r="AD473" s="8"/>
      <c r="AE473" s="8"/>
    </row>
    <row r="474" ht="13.5" customHeight="1">
      <c r="A474" s="8"/>
      <c r="B474" s="278"/>
      <c r="C474" s="8"/>
      <c r="D474" s="278"/>
      <c r="E474" s="278"/>
      <c r="F474" s="278"/>
      <c r="G474" s="278"/>
      <c r="H474" s="278"/>
      <c r="I474" s="27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278"/>
      <c r="AC474" s="8"/>
      <c r="AD474" s="8"/>
      <c r="AE474" s="8"/>
    </row>
    <row r="475" ht="13.5" customHeight="1">
      <c r="A475" s="8"/>
      <c r="B475" s="278"/>
      <c r="C475" s="8"/>
      <c r="D475" s="278"/>
      <c r="E475" s="278"/>
      <c r="F475" s="278"/>
      <c r="G475" s="278"/>
      <c r="H475" s="278"/>
      <c r="I475" s="27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278"/>
      <c r="AC475" s="8"/>
      <c r="AD475" s="8"/>
      <c r="AE475" s="8"/>
    </row>
    <row r="476" ht="13.5" customHeight="1">
      <c r="A476" s="8"/>
      <c r="B476" s="278"/>
      <c r="C476" s="8"/>
      <c r="D476" s="278"/>
      <c r="E476" s="278"/>
      <c r="F476" s="278"/>
      <c r="G476" s="278"/>
      <c r="H476" s="278"/>
      <c r="I476" s="27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278"/>
      <c r="AC476" s="8"/>
      <c r="AD476" s="8"/>
      <c r="AE476" s="8"/>
    </row>
    <row r="477" ht="13.5" customHeight="1">
      <c r="A477" s="8"/>
      <c r="B477" s="278"/>
      <c r="C477" s="8"/>
      <c r="D477" s="278"/>
      <c r="E477" s="278"/>
      <c r="F477" s="278"/>
      <c r="G477" s="278"/>
      <c r="H477" s="278"/>
      <c r="I477" s="27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278"/>
      <c r="AC477" s="8"/>
      <c r="AD477" s="8"/>
      <c r="AE477" s="8"/>
    </row>
    <row r="478" ht="13.5" customHeight="1">
      <c r="A478" s="8"/>
      <c r="B478" s="278"/>
      <c r="C478" s="8"/>
      <c r="D478" s="278"/>
      <c r="E478" s="278"/>
      <c r="F478" s="278"/>
      <c r="G478" s="278"/>
      <c r="H478" s="278"/>
      <c r="I478" s="27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278"/>
      <c r="AC478" s="8"/>
      <c r="AD478" s="8"/>
      <c r="AE478" s="8"/>
    </row>
    <row r="479" ht="13.5" customHeight="1">
      <c r="A479" s="8"/>
      <c r="B479" s="278"/>
      <c r="C479" s="8"/>
      <c r="D479" s="278"/>
      <c r="E479" s="278"/>
      <c r="F479" s="278"/>
      <c r="G479" s="278"/>
      <c r="H479" s="278"/>
      <c r="I479" s="27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278"/>
      <c r="AC479" s="8"/>
      <c r="AD479" s="8"/>
      <c r="AE479" s="8"/>
    </row>
    <row r="480" ht="13.5" customHeight="1">
      <c r="A480" s="8"/>
      <c r="B480" s="278"/>
      <c r="C480" s="8"/>
      <c r="D480" s="278"/>
      <c r="E480" s="278"/>
      <c r="F480" s="278"/>
      <c r="G480" s="278"/>
      <c r="H480" s="278"/>
      <c r="I480" s="27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278"/>
      <c r="AC480" s="8"/>
      <c r="AD480" s="8"/>
      <c r="AE480" s="8"/>
    </row>
    <row r="481" ht="13.5" customHeight="1">
      <c r="A481" s="8"/>
      <c r="B481" s="278"/>
      <c r="C481" s="8"/>
      <c r="D481" s="278"/>
      <c r="E481" s="278"/>
      <c r="F481" s="278"/>
      <c r="G481" s="278"/>
      <c r="H481" s="278"/>
      <c r="I481" s="27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278"/>
      <c r="AC481" s="8"/>
      <c r="AD481" s="8"/>
      <c r="AE481" s="8"/>
    </row>
    <row r="482" ht="13.5" customHeight="1">
      <c r="A482" s="8"/>
      <c r="B482" s="278"/>
      <c r="C482" s="8"/>
      <c r="D482" s="278"/>
      <c r="E482" s="278"/>
      <c r="F482" s="278"/>
      <c r="G482" s="278"/>
      <c r="H482" s="278"/>
      <c r="I482" s="27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278"/>
      <c r="AC482" s="8"/>
      <c r="AD482" s="8"/>
      <c r="AE482" s="8"/>
    </row>
    <row r="483" ht="13.5" customHeight="1">
      <c r="A483" s="8"/>
      <c r="B483" s="278"/>
      <c r="C483" s="8"/>
      <c r="D483" s="278"/>
      <c r="E483" s="278"/>
      <c r="F483" s="278"/>
      <c r="G483" s="278"/>
      <c r="H483" s="278"/>
      <c r="I483" s="27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278"/>
      <c r="AC483" s="8"/>
      <c r="AD483" s="8"/>
      <c r="AE483" s="8"/>
    </row>
    <row r="484" ht="13.5" customHeight="1">
      <c r="A484" s="8"/>
      <c r="B484" s="278"/>
      <c r="C484" s="8"/>
      <c r="D484" s="278"/>
      <c r="E484" s="278"/>
      <c r="F484" s="278"/>
      <c r="G484" s="278"/>
      <c r="H484" s="278"/>
      <c r="I484" s="27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278"/>
      <c r="AC484" s="8"/>
      <c r="AD484" s="8"/>
      <c r="AE484" s="8"/>
    </row>
    <row r="485" ht="13.5" customHeight="1">
      <c r="A485" s="8"/>
      <c r="B485" s="278"/>
      <c r="C485" s="8"/>
      <c r="D485" s="278"/>
      <c r="E485" s="278"/>
      <c r="F485" s="278"/>
      <c r="G485" s="278"/>
      <c r="H485" s="278"/>
      <c r="I485" s="27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278"/>
      <c r="AC485" s="8"/>
      <c r="AD485" s="8"/>
      <c r="AE485" s="8"/>
    </row>
    <row r="486" ht="13.5" customHeight="1">
      <c r="A486" s="8"/>
      <c r="B486" s="278"/>
      <c r="C486" s="8"/>
      <c r="D486" s="278"/>
      <c r="E486" s="278"/>
      <c r="F486" s="278"/>
      <c r="G486" s="278"/>
      <c r="H486" s="278"/>
      <c r="I486" s="27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278"/>
      <c r="AC486" s="8"/>
      <c r="AD486" s="8"/>
      <c r="AE486" s="8"/>
    </row>
    <row r="487" ht="13.5" customHeight="1">
      <c r="A487" s="8"/>
      <c r="B487" s="278"/>
      <c r="C487" s="8"/>
      <c r="D487" s="278"/>
      <c r="E487" s="278"/>
      <c r="F487" s="278"/>
      <c r="G487" s="278"/>
      <c r="H487" s="278"/>
      <c r="I487" s="27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278"/>
      <c r="AC487" s="8"/>
      <c r="AD487" s="8"/>
      <c r="AE487" s="8"/>
    </row>
    <row r="488" ht="13.5" customHeight="1">
      <c r="A488" s="8"/>
      <c r="B488" s="278"/>
      <c r="C488" s="8"/>
      <c r="D488" s="278"/>
      <c r="E488" s="278"/>
      <c r="F488" s="278"/>
      <c r="G488" s="278"/>
      <c r="H488" s="278"/>
      <c r="I488" s="27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278"/>
      <c r="AC488" s="8"/>
      <c r="AD488" s="8"/>
      <c r="AE488" s="8"/>
    </row>
    <row r="489" ht="13.5" customHeight="1">
      <c r="A489" s="8"/>
      <c r="B489" s="278"/>
      <c r="C489" s="8"/>
      <c r="D489" s="278"/>
      <c r="E489" s="278"/>
      <c r="F489" s="278"/>
      <c r="G489" s="278"/>
      <c r="H489" s="278"/>
      <c r="I489" s="27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278"/>
      <c r="AC489" s="8"/>
      <c r="AD489" s="8"/>
      <c r="AE489" s="8"/>
    </row>
    <row r="490" ht="13.5" customHeight="1">
      <c r="A490" s="8"/>
      <c r="B490" s="278"/>
      <c r="C490" s="8"/>
      <c r="D490" s="278"/>
      <c r="E490" s="278"/>
      <c r="F490" s="278"/>
      <c r="G490" s="278"/>
      <c r="H490" s="278"/>
      <c r="I490" s="27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278"/>
      <c r="AC490" s="8"/>
      <c r="AD490" s="8"/>
      <c r="AE490" s="8"/>
    </row>
    <row r="491" ht="13.5" customHeight="1">
      <c r="A491" s="8"/>
      <c r="B491" s="278"/>
      <c r="C491" s="8"/>
      <c r="D491" s="278"/>
      <c r="E491" s="278"/>
      <c r="F491" s="278"/>
      <c r="G491" s="278"/>
      <c r="H491" s="278"/>
      <c r="I491" s="27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278"/>
      <c r="AC491" s="8"/>
      <c r="AD491" s="8"/>
      <c r="AE491" s="8"/>
    </row>
    <row r="492" ht="13.5" customHeight="1">
      <c r="A492" s="8"/>
      <c r="B492" s="278"/>
      <c r="C492" s="8"/>
      <c r="D492" s="278"/>
      <c r="E492" s="278"/>
      <c r="F492" s="278"/>
      <c r="G492" s="278"/>
      <c r="H492" s="278"/>
      <c r="I492" s="27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278"/>
      <c r="AC492" s="8"/>
      <c r="AD492" s="8"/>
      <c r="AE492" s="8"/>
    </row>
    <row r="493" ht="13.5" customHeight="1">
      <c r="A493" s="8"/>
      <c r="B493" s="278"/>
      <c r="C493" s="8"/>
      <c r="D493" s="278"/>
      <c r="E493" s="278"/>
      <c r="F493" s="278"/>
      <c r="G493" s="278"/>
      <c r="H493" s="278"/>
      <c r="I493" s="27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278"/>
      <c r="AC493" s="8"/>
      <c r="AD493" s="8"/>
      <c r="AE493" s="8"/>
    </row>
    <row r="494" ht="13.5" customHeight="1">
      <c r="A494" s="8"/>
      <c r="B494" s="278"/>
      <c r="C494" s="8"/>
      <c r="D494" s="278"/>
      <c r="E494" s="278"/>
      <c r="F494" s="278"/>
      <c r="G494" s="278"/>
      <c r="H494" s="278"/>
      <c r="I494" s="27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278"/>
      <c r="AC494" s="8"/>
      <c r="AD494" s="8"/>
      <c r="AE494" s="8"/>
    </row>
    <row r="495" ht="13.5" customHeight="1">
      <c r="A495" s="8"/>
      <c r="B495" s="278"/>
      <c r="C495" s="8"/>
      <c r="D495" s="278"/>
      <c r="E495" s="278"/>
      <c r="F495" s="278"/>
      <c r="G495" s="278"/>
      <c r="H495" s="278"/>
      <c r="I495" s="27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278"/>
      <c r="AC495" s="8"/>
      <c r="AD495" s="8"/>
      <c r="AE495" s="8"/>
    </row>
    <row r="496" ht="13.5" customHeight="1">
      <c r="A496" s="8"/>
      <c r="B496" s="278"/>
      <c r="C496" s="8"/>
      <c r="D496" s="278"/>
      <c r="E496" s="278"/>
      <c r="F496" s="278"/>
      <c r="G496" s="278"/>
      <c r="H496" s="278"/>
      <c r="I496" s="27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278"/>
      <c r="AC496" s="8"/>
      <c r="AD496" s="8"/>
      <c r="AE496" s="8"/>
    </row>
    <row r="497" ht="13.5" customHeight="1">
      <c r="A497" s="8"/>
      <c r="B497" s="278"/>
      <c r="C497" s="8"/>
      <c r="D497" s="278"/>
      <c r="E497" s="278"/>
      <c r="F497" s="278"/>
      <c r="G497" s="278"/>
      <c r="H497" s="278"/>
      <c r="I497" s="27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278"/>
      <c r="AC497" s="8"/>
      <c r="AD497" s="8"/>
      <c r="AE497" s="8"/>
    </row>
    <row r="498" ht="13.5" customHeight="1">
      <c r="A498" s="8"/>
      <c r="B498" s="278"/>
      <c r="C498" s="8"/>
      <c r="D498" s="278"/>
      <c r="E498" s="278"/>
      <c r="F498" s="278"/>
      <c r="G498" s="278"/>
      <c r="H498" s="278"/>
      <c r="I498" s="27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278"/>
      <c r="AC498" s="8"/>
      <c r="AD498" s="8"/>
      <c r="AE498" s="8"/>
    </row>
    <row r="499" ht="13.5" customHeight="1">
      <c r="A499" s="8"/>
      <c r="B499" s="278"/>
      <c r="C499" s="8"/>
      <c r="D499" s="278"/>
      <c r="E499" s="278"/>
      <c r="F499" s="278"/>
      <c r="G499" s="278"/>
      <c r="H499" s="278"/>
      <c r="I499" s="27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278"/>
      <c r="AC499" s="8"/>
      <c r="AD499" s="8"/>
      <c r="AE499" s="8"/>
    </row>
    <row r="500" ht="13.5" customHeight="1">
      <c r="A500" s="8"/>
      <c r="B500" s="278"/>
      <c r="C500" s="8"/>
      <c r="D500" s="278"/>
      <c r="E500" s="278"/>
      <c r="F500" s="278"/>
      <c r="G500" s="278"/>
      <c r="H500" s="278"/>
      <c r="I500" s="27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278"/>
      <c r="AC500" s="8"/>
      <c r="AD500" s="8"/>
      <c r="AE500" s="8"/>
    </row>
    <row r="501" ht="13.5" customHeight="1">
      <c r="A501" s="8"/>
      <c r="B501" s="278"/>
      <c r="C501" s="8"/>
      <c r="D501" s="278"/>
      <c r="E501" s="278"/>
      <c r="F501" s="278"/>
      <c r="G501" s="278"/>
      <c r="H501" s="278"/>
      <c r="I501" s="27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278"/>
      <c r="AC501" s="8"/>
      <c r="AD501" s="8"/>
      <c r="AE501" s="8"/>
    </row>
    <row r="502" ht="13.5" customHeight="1">
      <c r="A502" s="8"/>
      <c r="B502" s="278"/>
      <c r="C502" s="8"/>
      <c r="D502" s="278"/>
      <c r="E502" s="278"/>
      <c r="F502" s="278"/>
      <c r="G502" s="278"/>
      <c r="H502" s="278"/>
      <c r="I502" s="27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278"/>
      <c r="AC502" s="8"/>
      <c r="AD502" s="8"/>
      <c r="AE502" s="8"/>
    </row>
    <row r="503" ht="13.5" customHeight="1">
      <c r="A503" s="8"/>
      <c r="B503" s="278"/>
      <c r="C503" s="8"/>
      <c r="D503" s="278"/>
      <c r="E503" s="278"/>
      <c r="F503" s="278"/>
      <c r="G503" s="278"/>
      <c r="H503" s="278"/>
      <c r="I503" s="27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278"/>
      <c r="AC503" s="8"/>
      <c r="AD503" s="8"/>
      <c r="AE503" s="8"/>
    </row>
    <row r="504" ht="13.5" customHeight="1">
      <c r="A504" s="8"/>
      <c r="B504" s="278"/>
      <c r="C504" s="8"/>
      <c r="D504" s="278"/>
      <c r="E504" s="278"/>
      <c r="F504" s="278"/>
      <c r="G504" s="278"/>
      <c r="H504" s="278"/>
      <c r="I504" s="27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278"/>
      <c r="AC504" s="8"/>
      <c r="AD504" s="8"/>
      <c r="AE504" s="8"/>
    </row>
    <row r="505" ht="13.5" customHeight="1">
      <c r="A505" s="8"/>
      <c r="B505" s="278"/>
      <c r="C505" s="8"/>
      <c r="D505" s="278"/>
      <c r="E505" s="278"/>
      <c r="F505" s="278"/>
      <c r="G505" s="278"/>
      <c r="H505" s="278"/>
      <c r="I505" s="27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278"/>
      <c r="AC505" s="8"/>
      <c r="AD505" s="8"/>
      <c r="AE505" s="8"/>
    </row>
    <row r="506" ht="13.5" customHeight="1">
      <c r="A506" s="8"/>
      <c r="B506" s="278"/>
      <c r="C506" s="8"/>
      <c r="D506" s="278"/>
      <c r="E506" s="278"/>
      <c r="F506" s="278"/>
      <c r="G506" s="278"/>
      <c r="H506" s="278"/>
      <c r="I506" s="27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278"/>
      <c r="AC506" s="8"/>
      <c r="AD506" s="8"/>
      <c r="AE506" s="8"/>
    </row>
    <row r="507" ht="13.5" customHeight="1">
      <c r="A507" s="8"/>
      <c r="B507" s="278"/>
      <c r="C507" s="8"/>
      <c r="D507" s="278"/>
      <c r="E507" s="278"/>
      <c r="F507" s="278"/>
      <c r="G507" s="278"/>
      <c r="H507" s="278"/>
      <c r="I507" s="27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278"/>
      <c r="AC507" s="8"/>
      <c r="AD507" s="8"/>
      <c r="AE507" s="8"/>
    </row>
    <row r="508" ht="13.5" customHeight="1">
      <c r="A508" s="8"/>
      <c r="B508" s="278"/>
      <c r="C508" s="8"/>
      <c r="D508" s="278"/>
      <c r="E508" s="278"/>
      <c r="F508" s="278"/>
      <c r="G508" s="278"/>
      <c r="H508" s="278"/>
      <c r="I508" s="27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278"/>
      <c r="AC508" s="8"/>
      <c r="AD508" s="8"/>
      <c r="AE508" s="8"/>
    </row>
    <row r="509" ht="13.5" customHeight="1">
      <c r="A509" s="8"/>
      <c r="B509" s="278"/>
      <c r="C509" s="8"/>
      <c r="D509" s="278"/>
      <c r="E509" s="278"/>
      <c r="F509" s="278"/>
      <c r="G509" s="278"/>
      <c r="H509" s="278"/>
      <c r="I509" s="27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278"/>
      <c r="AC509" s="8"/>
      <c r="AD509" s="8"/>
      <c r="AE509" s="8"/>
    </row>
    <row r="510" ht="13.5" customHeight="1">
      <c r="A510" s="8"/>
      <c r="B510" s="278"/>
      <c r="C510" s="8"/>
      <c r="D510" s="278"/>
      <c r="E510" s="278"/>
      <c r="F510" s="278"/>
      <c r="G510" s="278"/>
      <c r="H510" s="278"/>
      <c r="I510" s="27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278"/>
      <c r="AC510" s="8"/>
      <c r="AD510" s="8"/>
      <c r="AE510" s="8"/>
    </row>
    <row r="511" ht="13.5" customHeight="1">
      <c r="A511" s="8"/>
      <c r="B511" s="278"/>
      <c r="C511" s="8"/>
      <c r="D511" s="278"/>
      <c r="E511" s="278"/>
      <c r="F511" s="278"/>
      <c r="G511" s="278"/>
      <c r="H511" s="278"/>
      <c r="I511" s="27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278"/>
      <c r="AC511" s="8"/>
      <c r="AD511" s="8"/>
      <c r="AE511" s="8"/>
    </row>
    <row r="512" ht="13.5" customHeight="1">
      <c r="A512" s="8"/>
      <c r="B512" s="278"/>
      <c r="C512" s="8"/>
      <c r="D512" s="278"/>
      <c r="E512" s="278"/>
      <c r="F512" s="278"/>
      <c r="G512" s="278"/>
      <c r="H512" s="278"/>
      <c r="I512" s="27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278"/>
      <c r="AC512" s="8"/>
      <c r="AD512" s="8"/>
      <c r="AE512" s="8"/>
    </row>
    <row r="513" ht="13.5" customHeight="1">
      <c r="A513" s="8"/>
      <c r="B513" s="278"/>
      <c r="C513" s="8"/>
      <c r="D513" s="278"/>
      <c r="E513" s="278"/>
      <c r="F513" s="278"/>
      <c r="G513" s="278"/>
      <c r="H513" s="278"/>
      <c r="I513" s="27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278"/>
      <c r="AC513" s="8"/>
      <c r="AD513" s="8"/>
      <c r="AE513" s="8"/>
    </row>
    <row r="514" ht="13.5" customHeight="1">
      <c r="A514" s="8"/>
      <c r="B514" s="278"/>
      <c r="C514" s="8"/>
      <c r="D514" s="278"/>
      <c r="E514" s="278"/>
      <c r="F514" s="278"/>
      <c r="G514" s="278"/>
      <c r="H514" s="278"/>
      <c r="I514" s="27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278"/>
      <c r="AC514" s="8"/>
      <c r="AD514" s="8"/>
      <c r="AE514" s="8"/>
    </row>
    <row r="515" ht="13.5" customHeight="1">
      <c r="A515" s="8"/>
      <c r="B515" s="278"/>
      <c r="C515" s="8"/>
      <c r="D515" s="278"/>
      <c r="E515" s="278"/>
      <c r="F515" s="278"/>
      <c r="G515" s="278"/>
      <c r="H515" s="278"/>
      <c r="I515" s="27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278"/>
      <c r="AC515" s="8"/>
      <c r="AD515" s="8"/>
      <c r="AE515" s="8"/>
    </row>
    <row r="516" ht="13.5" customHeight="1">
      <c r="A516" s="8"/>
      <c r="B516" s="278"/>
      <c r="C516" s="8"/>
      <c r="D516" s="278"/>
      <c r="E516" s="278"/>
      <c r="F516" s="278"/>
      <c r="G516" s="278"/>
      <c r="H516" s="278"/>
      <c r="I516" s="27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278"/>
      <c r="AC516" s="8"/>
      <c r="AD516" s="8"/>
      <c r="AE516" s="8"/>
    </row>
    <row r="517" ht="13.5" customHeight="1">
      <c r="A517" s="8"/>
      <c r="B517" s="278"/>
      <c r="C517" s="8"/>
      <c r="D517" s="278"/>
      <c r="E517" s="278"/>
      <c r="F517" s="278"/>
      <c r="G517" s="278"/>
      <c r="H517" s="278"/>
      <c r="I517" s="27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278"/>
      <c r="AC517" s="8"/>
      <c r="AD517" s="8"/>
      <c r="AE517" s="8"/>
    </row>
    <row r="518" ht="13.5" customHeight="1">
      <c r="A518" s="8"/>
      <c r="B518" s="278"/>
      <c r="C518" s="8"/>
      <c r="D518" s="278"/>
      <c r="E518" s="278"/>
      <c r="F518" s="278"/>
      <c r="G518" s="278"/>
      <c r="H518" s="278"/>
      <c r="I518" s="27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278"/>
      <c r="AC518" s="8"/>
      <c r="AD518" s="8"/>
      <c r="AE518" s="8"/>
    </row>
    <row r="519" ht="13.5" customHeight="1">
      <c r="A519" s="8"/>
      <c r="B519" s="278"/>
      <c r="C519" s="8"/>
      <c r="D519" s="278"/>
      <c r="E519" s="278"/>
      <c r="F519" s="278"/>
      <c r="G519" s="278"/>
      <c r="H519" s="278"/>
      <c r="I519" s="27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278"/>
      <c r="AC519" s="8"/>
      <c r="AD519" s="8"/>
      <c r="AE519" s="8"/>
    </row>
    <row r="520" ht="13.5" customHeight="1">
      <c r="A520" s="8"/>
      <c r="B520" s="278"/>
      <c r="C520" s="8"/>
      <c r="D520" s="278"/>
      <c r="E520" s="278"/>
      <c r="F520" s="278"/>
      <c r="G520" s="278"/>
      <c r="H520" s="278"/>
      <c r="I520" s="27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278"/>
      <c r="AC520" s="8"/>
      <c r="AD520" s="8"/>
      <c r="AE520" s="8"/>
    </row>
    <row r="521" ht="13.5" customHeight="1">
      <c r="A521" s="8"/>
      <c r="B521" s="278"/>
      <c r="C521" s="8"/>
      <c r="D521" s="278"/>
      <c r="E521" s="278"/>
      <c r="F521" s="278"/>
      <c r="G521" s="278"/>
      <c r="H521" s="278"/>
      <c r="I521" s="27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278"/>
      <c r="AC521" s="8"/>
      <c r="AD521" s="8"/>
      <c r="AE521" s="8"/>
    </row>
    <row r="522" ht="13.5" customHeight="1">
      <c r="A522" s="8"/>
      <c r="B522" s="278"/>
      <c r="C522" s="8"/>
      <c r="D522" s="278"/>
      <c r="E522" s="278"/>
      <c r="F522" s="278"/>
      <c r="G522" s="278"/>
      <c r="H522" s="278"/>
      <c r="I522" s="27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278"/>
      <c r="AC522" s="8"/>
      <c r="AD522" s="8"/>
      <c r="AE522" s="8"/>
    </row>
    <row r="523" ht="13.5" customHeight="1">
      <c r="A523" s="8"/>
      <c r="B523" s="278"/>
      <c r="C523" s="8"/>
      <c r="D523" s="278"/>
      <c r="E523" s="278"/>
      <c r="F523" s="278"/>
      <c r="G523" s="278"/>
      <c r="H523" s="278"/>
      <c r="I523" s="27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278"/>
      <c r="AC523" s="8"/>
      <c r="AD523" s="8"/>
      <c r="AE523" s="8"/>
    </row>
    <row r="524" ht="13.5" customHeight="1">
      <c r="A524" s="8"/>
      <c r="B524" s="278"/>
      <c r="C524" s="8"/>
      <c r="D524" s="278"/>
      <c r="E524" s="278"/>
      <c r="F524" s="278"/>
      <c r="G524" s="278"/>
      <c r="H524" s="278"/>
      <c r="I524" s="27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278"/>
      <c r="AC524" s="8"/>
      <c r="AD524" s="8"/>
      <c r="AE524" s="8"/>
    </row>
    <row r="525" ht="13.5" customHeight="1">
      <c r="A525" s="8"/>
      <c r="B525" s="278"/>
      <c r="C525" s="8"/>
      <c r="D525" s="278"/>
      <c r="E525" s="278"/>
      <c r="F525" s="278"/>
      <c r="G525" s="278"/>
      <c r="H525" s="278"/>
      <c r="I525" s="27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278"/>
      <c r="AC525" s="8"/>
      <c r="AD525" s="8"/>
      <c r="AE525" s="8"/>
    </row>
    <row r="526" ht="13.5" customHeight="1">
      <c r="A526" s="8"/>
      <c r="B526" s="278"/>
      <c r="C526" s="8"/>
      <c r="D526" s="278"/>
      <c r="E526" s="278"/>
      <c r="F526" s="278"/>
      <c r="G526" s="278"/>
      <c r="H526" s="278"/>
      <c r="I526" s="27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278"/>
      <c r="AC526" s="8"/>
      <c r="AD526" s="8"/>
      <c r="AE526" s="8"/>
    </row>
    <row r="527" ht="13.5" customHeight="1">
      <c r="A527" s="8"/>
      <c r="B527" s="278"/>
      <c r="C527" s="8"/>
      <c r="D527" s="278"/>
      <c r="E527" s="278"/>
      <c r="F527" s="278"/>
      <c r="G527" s="278"/>
      <c r="H527" s="278"/>
      <c r="I527" s="27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278"/>
      <c r="AC527" s="8"/>
      <c r="AD527" s="8"/>
      <c r="AE527" s="8"/>
    </row>
    <row r="528" ht="13.5" customHeight="1">
      <c r="A528" s="8"/>
      <c r="B528" s="278"/>
      <c r="C528" s="8"/>
      <c r="D528" s="278"/>
      <c r="E528" s="278"/>
      <c r="F528" s="278"/>
      <c r="G528" s="278"/>
      <c r="H528" s="278"/>
      <c r="I528" s="27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278"/>
      <c r="AC528" s="8"/>
      <c r="AD528" s="8"/>
      <c r="AE528" s="8"/>
    </row>
    <row r="529" ht="13.5" customHeight="1">
      <c r="A529" s="8"/>
      <c r="B529" s="278"/>
      <c r="C529" s="8"/>
      <c r="D529" s="278"/>
      <c r="E529" s="278"/>
      <c r="F529" s="278"/>
      <c r="G529" s="278"/>
      <c r="H529" s="278"/>
      <c r="I529" s="27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278"/>
      <c r="AC529" s="8"/>
      <c r="AD529" s="8"/>
      <c r="AE529" s="8"/>
    </row>
    <row r="530" ht="13.5" customHeight="1">
      <c r="A530" s="8"/>
      <c r="B530" s="278"/>
      <c r="C530" s="8"/>
      <c r="D530" s="278"/>
      <c r="E530" s="278"/>
      <c r="F530" s="278"/>
      <c r="G530" s="278"/>
      <c r="H530" s="278"/>
      <c r="I530" s="27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278"/>
      <c r="AC530" s="8"/>
      <c r="AD530" s="8"/>
      <c r="AE530" s="8"/>
    </row>
    <row r="531" ht="13.5" customHeight="1">
      <c r="A531" s="8"/>
      <c r="B531" s="278"/>
      <c r="C531" s="8"/>
      <c r="D531" s="278"/>
      <c r="E531" s="278"/>
      <c r="F531" s="278"/>
      <c r="G531" s="278"/>
      <c r="H531" s="278"/>
      <c r="I531" s="27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278"/>
      <c r="AC531" s="8"/>
      <c r="AD531" s="8"/>
      <c r="AE531" s="8"/>
    </row>
    <row r="532" ht="13.5" customHeight="1">
      <c r="A532" s="8"/>
      <c r="B532" s="278"/>
      <c r="C532" s="8"/>
      <c r="D532" s="278"/>
      <c r="E532" s="278"/>
      <c r="F532" s="278"/>
      <c r="G532" s="278"/>
      <c r="H532" s="278"/>
      <c r="I532" s="27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278"/>
      <c r="AC532" s="8"/>
      <c r="AD532" s="8"/>
      <c r="AE532" s="8"/>
    </row>
    <row r="533" ht="13.5" customHeight="1">
      <c r="A533" s="8"/>
      <c r="B533" s="278"/>
      <c r="C533" s="8"/>
      <c r="D533" s="278"/>
      <c r="E533" s="278"/>
      <c r="F533" s="278"/>
      <c r="G533" s="278"/>
      <c r="H533" s="278"/>
      <c r="I533" s="27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278"/>
      <c r="AC533" s="8"/>
      <c r="AD533" s="8"/>
      <c r="AE533" s="8"/>
    </row>
    <row r="534" ht="13.5" customHeight="1">
      <c r="A534" s="8"/>
      <c r="B534" s="278"/>
      <c r="C534" s="8"/>
      <c r="D534" s="278"/>
      <c r="E534" s="278"/>
      <c r="F534" s="278"/>
      <c r="G534" s="278"/>
      <c r="H534" s="278"/>
      <c r="I534" s="27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278"/>
      <c r="AC534" s="8"/>
      <c r="AD534" s="8"/>
      <c r="AE534" s="8"/>
    </row>
    <row r="535" ht="13.5" customHeight="1">
      <c r="A535" s="8"/>
      <c r="B535" s="278"/>
      <c r="C535" s="8"/>
      <c r="D535" s="278"/>
      <c r="E535" s="278"/>
      <c r="F535" s="278"/>
      <c r="G535" s="278"/>
      <c r="H535" s="278"/>
      <c r="I535" s="27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278"/>
      <c r="AC535" s="8"/>
      <c r="AD535" s="8"/>
      <c r="AE535" s="8"/>
    </row>
    <row r="536" ht="13.5" customHeight="1">
      <c r="A536" s="8"/>
      <c r="B536" s="278"/>
      <c r="C536" s="8"/>
      <c r="D536" s="278"/>
      <c r="E536" s="278"/>
      <c r="F536" s="278"/>
      <c r="G536" s="278"/>
      <c r="H536" s="278"/>
      <c r="I536" s="27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278"/>
      <c r="AC536" s="8"/>
      <c r="AD536" s="8"/>
      <c r="AE536" s="8"/>
    </row>
    <row r="537" ht="13.5" customHeight="1">
      <c r="A537" s="8"/>
      <c r="B537" s="278"/>
      <c r="C537" s="8"/>
      <c r="D537" s="278"/>
      <c r="E537" s="278"/>
      <c r="F537" s="278"/>
      <c r="G537" s="278"/>
      <c r="H537" s="278"/>
      <c r="I537" s="27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278"/>
      <c r="AC537" s="8"/>
      <c r="AD537" s="8"/>
      <c r="AE537" s="8"/>
    </row>
    <row r="538" ht="13.5" customHeight="1">
      <c r="A538" s="8"/>
      <c r="B538" s="278"/>
      <c r="C538" s="8"/>
      <c r="D538" s="278"/>
      <c r="E538" s="278"/>
      <c r="F538" s="278"/>
      <c r="G538" s="278"/>
      <c r="H538" s="278"/>
      <c r="I538" s="27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278"/>
      <c r="AC538" s="8"/>
      <c r="AD538" s="8"/>
      <c r="AE538" s="8"/>
    </row>
    <row r="539" ht="13.5" customHeight="1">
      <c r="A539" s="8"/>
      <c r="B539" s="278"/>
      <c r="C539" s="8"/>
      <c r="D539" s="278"/>
      <c r="E539" s="278"/>
      <c r="F539" s="278"/>
      <c r="G539" s="278"/>
      <c r="H539" s="278"/>
      <c r="I539" s="27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278"/>
      <c r="AC539" s="8"/>
      <c r="AD539" s="8"/>
      <c r="AE539" s="8"/>
    </row>
    <row r="540" ht="13.5" customHeight="1">
      <c r="A540" s="8"/>
      <c r="B540" s="278"/>
      <c r="C540" s="8"/>
      <c r="D540" s="278"/>
      <c r="E540" s="278"/>
      <c r="F540" s="278"/>
      <c r="G540" s="278"/>
      <c r="H540" s="278"/>
      <c r="I540" s="27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278"/>
      <c r="AC540" s="8"/>
      <c r="AD540" s="8"/>
      <c r="AE540" s="8"/>
    </row>
    <row r="541" ht="13.5" customHeight="1">
      <c r="A541" s="8"/>
      <c r="B541" s="278"/>
      <c r="C541" s="8"/>
      <c r="D541" s="278"/>
      <c r="E541" s="278"/>
      <c r="F541" s="278"/>
      <c r="G541" s="278"/>
      <c r="H541" s="278"/>
      <c r="I541" s="27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278"/>
      <c r="AC541" s="8"/>
      <c r="AD541" s="8"/>
      <c r="AE541" s="8"/>
    </row>
    <row r="542" ht="13.5" customHeight="1">
      <c r="A542" s="8"/>
      <c r="B542" s="278"/>
      <c r="C542" s="8"/>
      <c r="D542" s="278"/>
      <c r="E542" s="278"/>
      <c r="F542" s="278"/>
      <c r="G542" s="278"/>
      <c r="H542" s="278"/>
      <c r="I542" s="27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278"/>
      <c r="AC542" s="8"/>
      <c r="AD542" s="8"/>
      <c r="AE542" s="8"/>
    </row>
    <row r="543" ht="13.5" customHeight="1">
      <c r="A543" s="8"/>
      <c r="B543" s="278"/>
      <c r="C543" s="8"/>
      <c r="D543" s="278"/>
      <c r="E543" s="278"/>
      <c r="F543" s="278"/>
      <c r="G543" s="278"/>
      <c r="H543" s="278"/>
      <c r="I543" s="27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278"/>
      <c r="AC543" s="8"/>
      <c r="AD543" s="8"/>
      <c r="AE543" s="8"/>
    </row>
    <row r="544" ht="13.5" customHeight="1">
      <c r="A544" s="8"/>
      <c r="B544" s="278"/>
      <c r="C544" s="8"/>
      <c r="D544" s="278"/>
      <c r="E544" s="278"/>
      <c r="F544" s="278"/>
      <c r="G544" s="278"/>
      <c r="H544" s="278"/>
      <c r="I544" s="27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278"/>
      <c r="AC544" s="8"/>
      <c r="AD544" s="8"/>
      <c r="AE544" s="8"/>
    </row>
    <row r="545" ht="13.5" customHeight="1">
      <c r="A545" s="8"/>
      <c r="B545" s="278"/>
      <c r="C545" s="8"/>
      <c r="D545" s="278"/>
      <c r="E545" s="278"/>
      <c r="F545" s="278"/>
      <c r="G545" s="278"/>
      <c r="H545" s="278"/>
      <c r="I545" s="27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278"/>
      <c r="AC545" s="8"/>
      <c r="AD545" s="8"/>
      <c r="AE545" s="8"/>
    </row>
    <row r="546" ht="13.5" customHeight="1">
      <c r="A546" s="8"/>
      <c r="B546" s="278"/>
      <c r="C546" s="8"/>
      <c r="D546" s="278"/>
      <c r="E546" s="278"/>
      <c r="F546" s="278"/>
      <c r="G546" s="278"/>
      <c r="H546" s="278"/>
      <c r="I546" s="27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278"/>
      <c r="AC546" s="8"/>
      <c r="AD546" s="8"/>
      <c r="AE546" s="8"/>
    </row>
    <row r="547" ht="13.5" customHeight="1">
      <c r="A547" s="8"/>
      <c r="B547" s="278"/>
      <c r="C547" s="8"/>
      <c r="D547" s="278"/>
      <c r="E547" s="278"/>
      <c r="F547" s="278"/>
      <c r="G547" s="278"/>
      <c r="H547" s="278"/>
      <c r="I547" s="27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278"/>
      <c r="AC547" s="8"/>
      <c r="AD547" s="8"/>
      <c r="AE547" s="8"/>
    </row>
    <row r="548" ht="13.5" customHeight="1">
      <c r="A548" s="8"/>
      <c r="B548" s="278"/>
      <c r="C548" s="8"/>
      <c r="D548" s="278"/>
      <c r="E548" s="278"/>
      <c r="F548" s="278"/>
      <c r="G548" s="278"/>
      <c r="H548" s="278"/>
      <c r="I548" s="27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278"/>
      <c r="AC548" s="8"/>
      <c r="AD548" s="8"/>
      <c r="AE548" s="8"/>
    </row>
    <row r="549" ht="13.5" customHeight="1">
      <c r="A549" s="8"/>
      <c r="B549" s="278"/>
      <c r="C549" s="8"/>
      <c r="D549" s="278"/>
      <c r="E549" s="278"/>
      <c r="F549" s="278"/>
      <c r="G549" s="278"/>
      <c r="H549" s="278"/>
      <c r="I549" s="27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278"/>
      <c r="AC549" s="8"/>
      <c r="AD549" s="8"/>
      <c r="AE549" s="8"/>
    </row>
    <row r="550" ht="13.5" customHeight="1">
      <c r="A550" s="8"/>
      <c r="B550" s="278"/>
      <c r="C550" s="8"/>
      <c r="D550" s="278"/>
      <c r="E550" s="278"/>
      <c r="F550" s="278"/>
      <c r="G550" s="278"/>
      <c r="H550" s="278"/>
      <c r="I550" s="27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278"/>
      <c r="AC550" s="8"/>
      <c r="AD550" s="8"/>
      <c r="AE550" s="8"/>
    </row>
    <row r="551" ht="13.5" customHeight="1">
      <c r="A551" s="8"/>
      <c r="B551" s="278"/>
      <c r="C551" s="8"/>
      <c r="D551" s="278"/>
      <c r="E551" s="278"/>
      <c r="F551" s="278"/>
      <c r="G551" s="278"/>
      <c r="H551" s="278"/>
      <c r="I551" s="27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278"/>
      <c r="AC551" s="8"/>
      <c r="AD551" s="8"/>
      <c r="AE551" s="8"/>
    </row>
    <row r="552" ht="13.5" customHeight="1">
      <c r="A552" s="8"/>
      <c r="B552" s="278"/>
      <c r="C552" s="8"/>
      <c r="D552" s="278"/>
      <c r="E552" s="278"/>
      <c r="F552" s="278"/>
      <c r="G552" s="278"/>
      <c r="H552" s="278"/>
      <c r="I552" s="27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278"/>
      <c r="AC552" s="8"/>
      <c r="AD552" s="8"/>
      <c r="AE552" s="8"/>
    </row>
    <row r="553" ht="13.5" customHeight="1">
      <c r="A553" s="8"/>
      <c r="B553" s="278"/>
      <c r="C553" s="8"/>
      <c r="D553" s="278"/>
      <c r="E553" s="278"/>
      <c r="F553" s="278"/>
      <c r="G553" s="278"/>
      <c r="H553" s="278"/>
      <c r="I553" s="27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278"/>
      <c r="AC553" s="8"/>
      <c r="AD553" s="8"/>
      <c r="AE553" s="8"/>
    </row>
    <row r="554" ht="13.5" customHeight="1">
      <c r="A554" s="8"/>
      <c r="B554" s="278"/>
      <c r="C554" s="8"/>
      <c r="D554" s="278"/>
      <c r="E554" s="278"/>
      <c r="F554" s="278"/>
      <c r="G554" s="278"/>
      <c r="H554" s="278"/>
      <c r="I554" s="27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278"/>
      <c r="AC554" s="8"/>
      <c r="AD554" s="8"/>
      <c r="AE554" s="8"/>
    </row>
    <row r="555" ht="13.5" customHeight="1">
      <c r="A555" s="8"/>
      <c r="B555" s="278"/>
      <c r="C555" s="8"/>
      <c r="D555" s="278"/>
      <c r="E555" s="278"/>
      <c r="F555" s="278"/>
      <c r="G555" s="278"/>
      <c r="H555" s="278"/>
      <c r="I555" s="27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278"/>
      <c r="AC555" s="8"/>
      <c r="AD555" s="8"/>
      <c r="AE555" s="8"/>
    </row>
    <row r="556" ht="13.5" customHeight="1">
      <c r="A556" s="8"/>
      <c r="B556" s="278"/>
      <c r="C556" s="8"/>
      <c r="D556" s="278"/>
      <c r="E556" s="278"/>
      <c r="F556" s="278"/>
      <c r="G556" s="278"/>
      <c r="H556" s="278"/>
      <c r="I556" s="27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278"/>
      <c r="AC556" s="8"/>
      <c r="AD556" s="8"/>
      <c r="AE556" s="8"/>
    </row>
    <row r="557" ht="13.5" customHeight="1">
      <c r="A557" s="8"/>
      <c r="B557" s="278"/>
      <c r="C557" s="8"/>
      <c r="D557" s="278"/>
      <c r="E557" s="278"/>
      <c r="F557" s="278"/>
      <c r="G557" s="278"/>
      <c r="H557" s="278"/>
      <c r="I557" s="27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278"/>
      <c r="AC557" s="8"/>
      <c r="AD557" s="8"/>
      <c r="AE557" s="8"/>
    </row>
    <row r="558" ht="13.5" customHeight="1">
      <c r="A558" s="8"/>
      <c r="B558" s="278"/>
      <c r="C558" s="8"/>
      <c r="D558" s="278"/>
      <c r="E558" s="278"/>
      <c r="F558" s="278"/>
      <c r="G558" s="278"/>
      <c r="H558" s="278"/>
      <c r="I558" s="27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278"/>
      <c r="AC558" s="8"/>
      <c r="AD558" s="8"/>
      <c r="AE558" s="8"/>
    </row>
    <row r="559" ht="13.5" customHeight="1">
      <c r="A559" s="8"/>
      <c r="B559" s="278"/>
      <c r="C559" s="8"/>
      <c r="D559" s="278"/>
      <c r="E559" s="278"/>
      <c r="F559" s="278"/>
      <c r="G559" s="278"/>
      <c r="H559" s="278"/>
      <c r="I559" s="27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278"/>
      <c r="AC559" s="8"/>
      <c r="AD559" s="8"/>
      <c r="AE559" s="8"/>
    </row>
    <row r="560" ht="13.5" customHeight="1">
      <c r="A560" s="8"/>
      <c r="B560" s="278"/>
      <c r="C560" s="8"/>
      <c r="D560" s="278"/>
      <c r="E560" s="278"/>
      <c r="F560" s="278"/>
      <c r="G560" s="278"/>
      <c r="H560" s="278"/>
      <c r="I560" s="27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278"/>
      <c r="AC560" s="8"/>
      <c r="AD560" s="8"/>
      <c r="AE560" s="8"/>
    </row>
    <row r="561" ht="13.5" customHeight="1">
      <c r="A561" s="8"/>
      <c r="B561" s="278"/>
      <c r="C561" s="8"/>
      <c r="D561" s="278"/>
      <c r="E561" s="278"/>
      <c r="F561" s="278"/>
      <c r="G561" s="278"/>
      <c r="H561" s="278"/>
      <c r="I561" s="27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278"/>
      <c r="AC561" s="8"/>
      <c r="AD561" s="8"/>
      <c r="AE561" s="8"/>
    </row>
    <row r="562" ht="13.5" customHeight="1">
      <c r="A562" s="8"/>
      <c r="B562" s="278"/>
      <c r="C562" s="8"/>
      <c r="D562" s="278"/>
      <c r="E562" s="278"/>
      <c r="F562" s="278"/>
      <c r="G562" s="278"/>
      <c r="H562" s="278"/>
      <c r="I562" s="27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278"/>
      <c r="AC562" s="8"/>
      <c r="AD562" s="8"/>
      <c r="AE562" s="8"/>
    </row>
    <row r="563" ht="13.5" customHeight="1">
      <c r="A563" s="8"/>
      <c r="B563" s="278"/>
      <c r="C563" s="8"/>
      <c r="D563" s="278"/>
      <c r="E563" s="278"/>
      <c r="F563" s="278"/>
      <c r="G563" s="278"/>
      <c r="H563" s="278"/>
      <c r="I563" s="27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278"/>
      <c r="AC563" s="8"/>
      <c r="AD563" s="8"/>
      <c r="AE563" s="8"/>
    </row>
    <row r="564" ht="13.5" customHeight="1">
      <c r="A564" s="8"/>
      <c r="B564" s="278"/>
      <c r="C564" s="8"/>
      <c r="D564" s="278"/>
      <c r="E564" s="278"/>
      <c r="F564" s="278"/>
      <c r="G564" s="278"/>
      <c r="H564" s="278"/>
      <c r="I564" s="27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278"/>
      <c r="AC564" s="8"/>
      <c r="AD564" s="8"/>
      <c r="AE564" s="8"/>
    </row>
    <row r="565" ht="13.5" customHeight="1">
      <c r="A565" s="8"/>
      <c r="B565" s="278"/>
      <c r="C565" s="8"/>
      <c r="D565" s="278"/>
      <c r="E565" s="278"/>
      <c r="F565" s="278"/>
      <c r="G565" s="278"/>
      <c r="H565" s="278"/>
      <c r="I565" s="27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278"/>
      <c r="AC565" s="8"/>
      <c r="AD565" s="8"/>
      <c r="AE565" s="8"/>
    </row>
    <row r="566" ht="13.5" customHeight="1">
      <c r="A566" s="8"/>
      <c r="B566" s="278"/>
      <c r="C566" s="8"/>
      <c r="D566" s="278"/>
      <c r="E566" s="278"/>
      <c r="F566" s="278"/>
      <c r="G566" s="278"/>
      <c r="H566" s="278"/>
      <c r="I566" s="27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278"/>
      <c r="AC566" s="8"/>
      <c r="AD566" s="8"/>
      <c r="AE566" s="8"/>
    </row>
    <row r="567" ht="13.5" customHeight="1">
      <c r="A567" s="8"/>
      <c r="B567" s="278"/>
      <c r="C567" s="8"/>
      <c r="D567" s="278"/>
      <c r="E567" s="278"/>
      <c r="F567" s="278"/>
      <c r="G567" s="278"/>
      <c r="H567" s="278"/>
      <c r="I567" s="27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278"/>
      <c r="AC567" s="8"/>
      <c r="AD567" s="8"/>
      <c r="AE567" s="8"/>
    </row>
    <row r="568" ht="13.5" customHeight="1">
      <c r="A568" s="8"/>
      <c r="B568" s="278"/>
      <c r="C568" s="8"/>
      <c r="D568" s="278"/>
      <c r="E568" s="278"/>
      <c r="F568" s="278"/>
      <c r="G568" s="278"/>
      <c r="H568" s="278"/>
      <c r="I568" s="27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278"/>
      <c r="AC568" s="8"/>
      <c r="AD568" s="8"/>
      <c r="AE568" s="8"/>
    </row>
    <row r="569" ht="13.5" customHeight="1">
      <c r="A569" s="8"/>
      <c r="B569" s="278"/>
      <c r="C569" s="8"/>
      <c r="D569" s="278"/>
      <c r="E569" s="278"/>
      <c r="F569" s="278"/>
      <c r="G569" s="278"/>
      <c r="H569" s="278"/>
      <c r="I569" s="27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278"/>
      <c r="AC569" s="8"/>
      <c r="AD569" s="8"/>
      <c r="AE569" s="8"/>
    </row>
    <row r="570" ht="13.5" customHeight="1">
      <c r="A570" s="8"/>
      <c r="B570" s="278"/>
      <c r="C570" s="8"/>
      <c r="D570" s="278"/>
      <c r="E570" s="278"/>
      <c r="F570" s="278"/>
      <c r="G570" s="278"/>
      <c r="H570" s="278"/>
      <c r="I570" s="27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278"/>
      <c r="AC570" s="8"/>
      <c r="AD570" s="8"/>
      <c r="AE570" s="8"/>
    </row>
    <row r="571" ht="13.5" customHeight="1">
      <c r="A571" s="8"/>
      <c r="B571" s="278"/>
      <c r="C571" s="8"/>
      <c r="D571" s="278"/>
      <c r="E571" s="278"/>
      <c r="F571" s="278"/>
      <c r="G571" s="278"/>
      <c r="H571" s="278"/>
      <c r="I571" s="27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278"/>
      <c r="AC571" s="8"/>
      <c r="AD571" s="8"/>
      <c r="AE571" s="8"/>
    </row>
    <row r="572" ht="13.5" customHeight="1">
      <c r="A572" s="8"/>
      <c r="B572" s="278"/>
      <c r="C572" s="8"/>
      <c r="D572" s="278"/>
      <c r="E572" s="278"/>
      <c r="F572" s="278"/>
      <c r="G572" s="278"/>
      <c r="H572" s="278"/>
      <c r="I572" s="27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278"/>
      <c r="AC572" s="8"/>
      <c r="AD572" s="8"/>
      <c r="AE572" s="8"/>
    </row>
    <row r="573" ht="13.5" customHeight="1">
      <c r="A573" s="8"/>
      <c r="B573" s="278"/>
      <c r="C573" s="8"/>
      <c r="D573" s="278"/>
      <c r="E573" s="278"/>
      <c r="F573" s="278"/>
      <c r="G573" s="278"/>
      <c r="H573" s="278"/>
      <c r="I573" s="27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278"/>
      <c r="AC573" s="8"/>
      <c r="AD573" s="8"/>
      <c r="AE573" s="8"/>
    </row>
    <row r="574" ht="13.5" customHeight="1">
      <c r="A574" s="8"/>
      <c r="B574" s="278"/>
      <c r="C574" s="8"/>
      <c r="D574" s="278"/>
      <c r="E574" s="278"/>
      <c r="F574" s="278"/>
      <c r="G574" s="278"/>
      <c r="H574" s="278"/>
      <c r="I574" s="27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278"/>
      <c r="AC574" s="8"/>
      <c r="AD574" s="8"/>
      <c r="AE574" s="8"/>
    </row>
    <row r="575" ht="13.5" customHeight="1">
      <c r="A575" s="8"/>
      <c r="B575" s="278"/>
      <c r="C575" s="8"/>
      <c r="D575" s="278"/>
      <c r="E575" s="278"/>
      <c r="F575" s="278"/>
      <c r="G575" s="278"/>
      <c r="H575" s="278"/>
      <c r="I575" s="27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278"/>
      <c r="AC575" s="8"/>
      <c r="AD575" s="8"/>
      <c r="AE575" s="8"/>
    </row>
    <row r="576" ht="13.5" customHeight="1">
      <c r="A576" s="8"/>
      <c r="B576" s="278"/>
      <c r="C576" s="8"/>
      <c r="D576" s="278"/>
      <c r="E576" s="278"/>
      <c r="F576" s="278"/>
      <c r="G576" s="278"/>
      <c r="H576" s="278"/>
      <c r="I576" s="27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278"/>
      <c r="AC576" s="8"/>
      <c r="AD576" s="8"/>
      <c r="AE576" s="8"/>
    </row>
    <row r="577" ht="13.5" customHeight="1">
      <c r="A577" s="8"/>
      <c r="B577" s="278"/>
      <c r="C577" s="8"/>
      <c r="D577" s="278"/>
      <c r="E577" s="278"/>
      <c r="F577" s="278"/>
      <c r="G577" s="278"/>
      <c r="H577" s="278"/>
      <c r="I577" s="27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278"/>
      <c r="AC577" s="8"/>
      <c r="AD577" s="8"/>
      <c r="AE577" s="8"/>
    </row>
    <row r="578" ht="13.5" customHeight="1">
      <c r="A578" s="8"/>
      <c r="B578" s="278"/>
      <c r="C578" s="8"/>
      <c r="D578" s="278"/>
      <c r="E578" s="278"/>
      <c r="F578" s="278"/>
      <c r="G578" s="278"/>
      <c r="H578" s="278"/>
      <c r="I578" s="27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278"/>
      <c r="AC578" s="8"/>
      <c r="AD578" s="8"/>
      <c r="AE578" s="8"/>
    </row>
    <row r="579" ht="13.5" customHeight="1">
      <c r="A579" s="8"/>
      <c r="B579" s="278"/>
      <c r="C579" s="8"/>
      <c r="D579" s="278"/>
      <c r="E579" s="278"/>
      <c r="F579" s="278"/>
      <c r="G579" s="278"/>
      <c r="H579" s="278"/>
      <c r="I579" s="27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278"/>
      <c r="AC579" s="8"/>
      <c r="AD579" s="8"/>
      <c r="AE579" s="8"/>
    </row>
    <row r="580" ht="13.5" customHeight="1">
      <c r="A580" s="8"/>
      <c r="B580" s="278"/>
      <c r="C580" s="8"/>
      <c r="D580" s="278"/>
      <c r="E580" s="278"/>
      <c r="F580" s="278"/>
      <c r="G580" s="278"/>
      <c r="H580" s="278"/>
      <c r="I580" s="27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278"/>
      <c r="AC580" s="8"/>
      <c r="AD580" s="8"/>
      <c r="AE580" s="8"/>
    </row>
    <row r="581" ht="13.5" customHeight="1">
      <c r="A581" s="8"/>
      <c r="B581" s="278"/>
      <c r="C581" s="8"/>
      <c r="D581" s="278"/>
      <c r="E581" s="278"/>
      <c r="F581" s="278"/>
      <c r="G581" s="278"/>
      <c r="H581" s="278"/>
      <c r="I581" s="27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278"/>
      <c r="AC581" s="8"/>
      <c r="AD581" s="8"/>
      <c r="AE581" s="8"/>
    </row>
    <row r="582" ht="13.5" customHeight="1">
      <c r="A582" s="8"/>
      <c r="B582" s="278"/>
      <c r="C582" s="8"/>
      <c r="D582" s="278"/>
      <c r="E582" s="278"/>
      <c r="F582" s="278"/>
      <c r="G582" s="278"/>
      <c r="H582" s="278"/>
      <c r="I582" s="27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278"/>
      <c r="AC582" s="8"/>
      <c r="AD582" s="8"/>
      <c r="AE582" s="8"/>
    </row>
    <row r="583" ht="13.5" customHeight="1">
      <c r="A583" s="8"/>
      <c r="B583" s="278"/>
      <c r="C583" s="8"/>
      <c r="D583" s="278"/>
      <c r="E583" s="278"/>
      <c r="F583" s="278"/>
      <c r="G583" s="278"/>
      <c r="H583" s="278"/>
      <c r="I583" s="27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278"/>
      <c r="AC583" s="8"/>
      <c r="AD583" s="8"/>
      <c r="AE583" s="8"/>
    </row>
    <row r="584" ht="13.5" customHeight="1">
      <c r="A584" s="8"/>
      <c r="B584" s="278"/>
      <c r="C584" s="8"/>
      <c r="D584" s="278"/>
      <c r="E584" s="278"/>
      <c r="F584" s="278"/>
      <c r="G584" s="278"/>
      <c r="H584" s="278"/>
      <c r="I584" s="27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278"/>
      <c r="AC584" s="8"/>
      <c r="AD584" s="8"/>
      <c r="AE584" s="8"/>
    </row>
    <row r="585" ht="13.5" customHeight="1">
      <c r="A585" s="8"/>
      <c r="B585" s="278"/>
      <c r="C585" s="8"/>
      <c r="D585" s="278"/>
      <c r="E585" s="278"/>
      <c r="F585" s="278"/>
      <c r="G585" s="278"/>
      <c r="H585" s="278"/>
      <c r="I585" s="27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278"/>
      <c r="AC585" s="8"/>
      <c r="AD585" s="8"/>
      <c r="AE585" s="8"/>
    </row>
    <row r="586" ht="13.5" customHeight="1">
      <c r="A586" s="8"/>
      <c r="B586" s="278"/>
      <c r="C586" s="8"/>
      <c r="D586" s="278"/>
      <c r="E586" s="278"/>
      <c r="F586" s="278"/>
      <c r="G586" s="278"/>
      <c r="H586" s="278"/>
      <c r="I586" s="27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278"/>
      <c r="AC586" s="8"/>
      <c r="AD586" s="8"/>
      <c r="AE586" s="8"/>
    </row>
    <row r="587" ht="13.5" customHeight="1">
      <c r="A587" s="8"/>
      <c r="B587" s="278"/>
      <c r="C587" s="8"/>
      <c r="D587" s="278"/>
      <c r="E587" s="278"/>
      <c r="F587" s="278"/>
      <c r="G587" s="278"/>
      <c r="H587" s="278"/>
      <c r="I587" s="27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278"/>
      <c r="AC587" s="8"/>
      <c r="AD587" s="8"/>
      <c r="AE587" s="8"/>
    </row>
    <row r="588" ht="13.5" customHeight="1">
      <c r="A588" s="8"/>
      <c r="B588" s="278"/>
      <c r="C588" s="8"/>
      <c r="D588" s="278"/>
      <c r="E588" s="278"/>
      <c r="F588" s="278"/>
      <c r="G588" s="278"/>
      <c r="H588" s="278"/>
      <c r="I588" s="27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278"/>
      <c r="AC588" s="8"/>
      <c r="AD588" s="8"/>
      <c r="AE588" s="8"/>
    </row>
    <row r="589" ht="13.5" customHeight="1">
      <c r="A589" s="8"/>
      <c r="B589" s="278"/>
      <c r="C589" s="8"/>
      <c r="D589" s="278"/>
      <c r="E589" s="278"/>
      <c r="F589" s="278"/>
      <c r="G589" s="278"/>
      <c r="H589" s="278"/>
      <c r="I589" s="27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278"/>
      <c r="AC589" s="8"/>
      <c r="AD589" s="8"/>
      <c r="AE589" s="8"/>
    </row>
    <row r="590" ht="13.5" customHeight="1">
      <c r="A590" s="8"/>
      <c r="B590" s="278"/>
      <c r="C590" s="8"/>
      <c r="D590" s="278"/>
      <c r="E590" s="278"/>
      <c r="F590" s="278"/>
      <c r="G590" s="278"/>
      <c r="H590" s="278"/>
      <c r="I590" s="27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278"/>
      <c r="AC590" s="8"/>
      <c r="AD590" s="8"/>
      <c r="AE590" s="8"/>
    </row>
    <row r="591" ht="13.5" customHeight="1">
      <c r="A591" s="8"/>
      <c r="B591" s="278"/>
      <c r="C591" s="8"/>
      <c r="D591" s="278"/>
      <c r="E591" s="278"/>
      <c r="F591" s="278"/>
      <c r="G591" s="278"/>
      <c r="H591" s="278"/>
      <c r="I591" s="27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278"/>
      <c r="AC591" s="8"/>
      <c r="AD591" s="8"/>
      <c r="AE591" s="8"/>
    </row>
    <row r="592" ht="13.5" customHeight="1">
      <c r="A592" s="8"/>
      <c r="B592" s="278"/>
      <c r="C592" s="8"/>
      <c r="D592" s="278"/>
      <c r="E592" s="278"/>
      <c r="F592" s="278"/>
      <c r="G592" s="278"/>
      <c r="H592" s="278"/>
      <c r="I592" s="27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278"/>
      <c r="AC592" s="8"/>
      <c r="AD592" s="8"/>
      <c r="AE592" s="8"/>
    </row>
    <row r="593" ht="13.5" customHeight="1">
      <c r="A593" s="8"/>
      <c r="B593" s="278"/>
      <c r="C593" s="8"/>
      <c r="D593" s="278"/>
      <c r="E593" s="278"/>
      <c r="F593" s="278"/>
      <c r="G593" s="278"/>
      <c r="H593" s="278"/>
      <c r="I593" s="27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278"/>
      <c r="AC593" s="8"/>
      <c r="AD593" s="8"/>
      <c r="AE593" s="8"/>
    </row>
    <row r="594" ht="13.5" customHeight="1">
      <c r="A594" s="8"/>
      <c r="B594" s="278"/>
      <c r="C594" s="8"/>
      <c r="D594" s="278"/>
      <c r="E594" s="278"/>
      <c r="F594" s="278"/>
      <c r="G594" s="278"/>
      <c r="H594" s="278"/>
      <c r="I594" s="27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278"/>
      <c r="AC594" s="8"/>
      <c r="AD594" s="8"/>
      <c r="AE594" s="8"/>
    </row>
    <row r="595" ht="13.5" customHeight="1">
      <c r="A595" s="8"/>
      <c r="B595" s="278"/>
      <c r="C595" s="8"/>
      <c r="D595" s="278"/>
      <c r="E595" s="278"/>
      <c r="F595" s="278"/>
      <c r="G595" s="278"/>
      <c r="H595" s="278"/>
      <c r="I595" s="27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278"/>
      <c r="AC595" s="8"/>
      <c r="AD595" s="8"/>
      <c r="AE595" s="8"/>
    </row>
    <row r="596" ht="13.5" customHeight="1">
      <c r="A596" s="8"/>
      <c r="B596" s="278"/>
      <c r="C596" s="8"/>
      <c r="D596" s="278"/>
      <c r="E596" s="278"/>
      <c r="F596" s="278"/>
      <c r="G596" s="278"/>
      <c r="H596" s="278"/>
      <c r="I596" s="27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278"/>
      <c r="AC596" s="8"/>
      <c r="AD596" s="8"/>
      <c r="AE596" s="8"/>
    </row>
    <row r="597" ht="13.5" customHeight="1">
      <c r="A597" s="8"/>
      <c r="B597" s="278"/>
      <c r="C597" s="8"/>
      <c r="D597" s="278"/>
      <c r="E597" s="278"/>
      <c r="F597" s="278"/>
      <c r="G597" s="278"/>
      <c r="H597" s="278"/>
      <c r="I597" s="27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278"/>
      <c r="AC597" s="8"/>
      <c r="AD597" s="8"/>
      <c r="AE597" s="8"/>
    </row>
    <row r="598" ht="13.5" customHeight="1">
      <c r="A598" s="8"/>
      <c r="B598" s="278"/>
      <c r="C598" s="8"/>
      <c r="D598" s="278"/>
      <c r="E598" s="278"/>
      <c r="F598" s="278"/>
      <c r="G598" s="278"/>
      <c r="H598" s="278"/>
      <c r="I598" s="27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278"/>
      <c r="AC598" s="8"/>
      <c r="AD598" s="8"/>
      <c r="AE598" s="8"/>
    </row>
    <row r="599" ht="13.5" customHeight="1">
      <c r="A599" s="8"/>
      <c r="B599" s="278"/>
      <c r="C599" s="8"/>
      <c r="D599" s="278"/>
      <c r="E599" s="278"/>
      <c r="F599" s="278"/>
      <c r="G599" s="278"/>
      <c r="H599" s="278"/>
      <c r="I599" s="27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278"/>
      <c r="AC599" s="8"/>
      <c r="AD599" s="8"/>
      <c r="AE599" s="8"/>
    </row>
    <row r="600" ht="13.5" customHeight="1">
      <c r="A600" s="8"/>
      <c r="B600" s="278"/>
      <c r="C600" s="8"/>
      <c r="D600" s="278"/>
      <c r="E600" s="278"/>
      <c r="F600" s="278"/>
      <c r="G600" s="278"/>
      <c r="H600" s="278"/>
      <c r="I600" s="27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278"/>
      <c r="AC600" s="8"/>
      <c r="AD600" s="8"/>
      <c r="AE600" s="8"/>
    </row>
    <row r="601" ht="13.5" customHeight="1">
      <c r="A601" s="8"/>
      <c r="B601" s="278"/>
      <c r="C601" s="8"/>
      <c r="D601" s="278"/>
      <c r="E601" s="278"/>
      <c r="F601" s="278"/>
      <c r="G601" s="278"/>
      <c r="H601" s="278"/>
      <c r="I601" s="27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278"/>
      <c r="AC601" s="8"/>
      <c r="AD601" s="8"/>
      <c r="AE601" s="8"/>
    </row>
    <row r="602" ht="13.5" customHeight="1">
      <c r="A602" s="8"/>
      <c r="B602" s="278"/>
      <c r="C602" s="8"/>
      <c r="D602" s="278"/>
      <c r="E602" s="278"/>
      <c r="F602" s="278"/>
      <c r="G602" s="278"/>
      <c r="H602" s="278"/>
      <c r="I602" s="27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278"/>
      <c r="AC602" s="8"/>
      <c r="AD602" s="8"/>
      <c r="AE602" s="8"/>
    </row>
    <row r="603" ht="13.5" customHeight="1">
      <c r="A603" s="8"/>
      <c r="B603" s="278"/>
      <c r="C603" s="8"/>
      <c r="D603" s="278"/>
      <c r="E603" s="278"/>
      <c r="F603" s="278"/>
      <c r="G603" s="278"/>
      <c r="H603" s="278"/>
      <c r="I603" s="27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278"/>
      <c r="AC603" s="8"/>
      <c r="AD603" s="8"/>
      <c r="AE603" s="8"/>
    </row>
    <row r="604" ht="13.5" customHeight="1">
      <c r="A604" s="8"/>
      <c r="B604" s="278"/>
      <c r="C604" s="8"/>
      <c r="D604" s="278"/>
      <c r="E604" s="278"/>
      <c r="F604" s="278"/>
      <c r="G604" s="278"/>
      <c r="H604" s="278"/>
      <c r="I604" s="27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278"/>
      <c r="AC604" s="8"/>
      <c r="AD604" s="8"/>
      <c r="AE604" s="8"/>
    </row>
    <row r="605" ht="13.5" customHeight="1">
      <c r="A605" s="8"/>
      <c r="B605" s="278"/>
      <c r="C605" s="8"/>
      <c r="D605" s="278"/>
      <c r="E605" s="278"/>
      <c r="F605" s="278"/>
      <c r="G605" s="278"/>
      <c r="H605" s="278"/>
      <c r="I605" s="27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278"/>
      <c r="AC605" s="8"/>
      <c r="AD605" s="8"/>
      <c r="AE605" s="8"/>
    </row>
    <row r="606" ht="13.5" customHeight="1">
      <c r="A606" s="8"/>
      <c r="B606" s="278"/>
      <c r="C606" s="8"/>
      <c r="D606" s="278"/>
      <c r="E606" s="278"/>
      <c r="F606" s="278"/>
      <c r="G606" s="278"/>
      <c r="H606" s="278"/>
      <c r="I606" s="27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278"/>
      <c r="AC606" s="8"/>
      <c r="AD606" s="8"/>
      <c r="AE606" s="8"/>
    </row>
    <row r="607" ht="13.5" customHeight="1">
      <c r="A607" s="8"/>
      <c r="B607" s="278"/>
      <c r="C607" s="8"/>
      <c r="D607" s="278"/>
      <c r="E607" s="278"/>
      <c r="F607" s="278"/>
      <c r="G607" s="278"/>
      <c r="H607" s="278"/>
      <c r="I607" s="27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278"/>
      <c r="AC607" s="8"/>
      <c r="AD607" s="8"/>
      <c r="AE607" s="8"/>
    </row>
    <row r="608" ht="13.5" customHeight="1">
      <c r="A608" s="8"/>
      <c r="B608" s="278"/>
      <c r="C608" s="8"/>
      <c r="D608" s="278"/>
      <c r="E608" s="278"/>
      <c r="F608" s="278"/>
      <c r="G608" s="278"/>
      <c r="H608" s="278"/>
      <c r="I608" s="27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278"/>
      <c r="AC608" s="8"/>
      <c r="AD608" s="8"/>
      <c r="AE608" s="8"/>
    </row>
    <row r="609" ht="13.5" customHeight="1">
      <c r="A609" s="8"/>
      <c r="B609" s="278"/>
      <c r="C609" s="8"/>
      <c r="D609" s="278"/>
      <c r="E609" s="278"/>
      <c r="F609" s="278"/>
      <c r="G609" s="278"/>
      <c r="H609" s="278"/>
      <c r="I609" s="27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278"/>
      <c r="AC609" s="8"/>
      <c r="AD609" s="8"/>
      <c r="AE609" s="8"/>
    </row>
    <row r="610" ht="13.5" customHeight="1">
      <c r="A610" s="8"/>
      <c r="B610" s="278"/>
      <c r="C610" s="8"/>
      <c r="D610" s="278"/>
      <c r="E610" s="278"/>
      <c r="F610" s="278"/>
      <c r="G610" s="278"/>
      <c r="H610" s="278"/>
      <c r="I610" s="27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278"/>
      <c r="AC610" s="8"/>
      <c r="AD610" s="8"/>
      <c r="AE610" s="8"/>
    </row>
    <row r="611" ht="13.5" customHeight="1">
      <c r="A611" s="8"/>
      <c r="B611" s="278"/>
      <c r="C611" s="8"/>
      <c r="D611" s="278"/>
      <c r="E611" s="278"/>
      <c r="F611" s="278"/>
      <c r="G611" s="278"/>
      <c r="H611" s="278"/>
      <c r="I611" s="27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278"/>
      <c r="AC611" s="8"/>
      <c r="AD611" s="8"/>
      <c r="AE611" s="8"/>
    </row>
    <row r="612" ht="13.5" customHeight="1">
      <c r="A612" s="8"/>
      <c r="B612" s="278"/>
      <c r="C612" s="8"/>
      <c r="D612" s="278"/>
      <c r="E612" s="278"/>
      <c r="F612" s="278"/>
      <c r="G612" s="278"/>
      <c r="H612" s="278"/>
      <c r="I612" s="27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278"/>
      <c r="AC612" s="8"/>
      <c r="AD612" s="8"/>
      <c r="AE612" s="8"/>
    </row>
    <row r="613" ht="13.5" customHeight="1">
      <c r="A613" s="8"/>
      <c r="B613" s="278"/>
      <c r="C613" s="8"/>
      <c r="D613" s="278"/>
      <c r="E613" s="278"/>
      <c r="F613" s="278"/>
      <c r="G613" s="278"/>
      <c r="H613" s="278"/>
      <c r="I613" s="27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278"/>
      <c r="AC613" s="8"/>
      <c r="AD613" s="8"/>
      <c r="AE613" s="8"/>
    </row>
    <row r="614" ht="13.5" customHeight="1">
      <c r="A614" s="8"/>
      <c r="B614" s="278"/>
      <c r="C614" s="8"/>
      <c r="D614" s="278"/>
      <c r="E614" s="278"/>
      <c r="F614" s="278"/>
      <c r="G614" s="278"/>
      <c r="H614" s="278"/>
      <c r="I614" s="27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278"/>
      <c r="AC614" s="8"/>
      <c r="AD614" s="8"/>
      <c r="AE614" s="8"/>
    </row>
    <row r="615" ht="13.5" customHeight="1">
      <c r="A615" s="8"/>
      <c r="B615" s="278"/>
      <c r="C615" s="8"/>
      <c r="D615" s="278"/>
      <c r="E615" s="278"/>
      <c r="F615" s="278"/>
      <c r="G615" s="278"/>
      <c r="H615" s="278"/>
      <c r="I615" s="27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278"/>
      <c r="AC615" s="8"/>
      <c r="AD615" s="8"/>
      <c r="AE615" s="8"/>
    </row>
    <row r="616" ht="13.5" customHeight="1">
      <c r="A616" s="8"/>
      <c r="B616" s="278"/>
      <c r="C616" s="8"/>
      <c r="D616" s="278"/>
      <c r="E616" s="278"/>
      <c r="F616" s="278"/>
      <c r="G616" s="278"/>
      <c r="H616" s="278"/>
      <c r="I616" s="27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278"/>
      <c r="AC616" s="8"/>
      <c r="AD616" s="8"/>
      <c r="AE616" s="8"/>
    </row>
    <row r="617" ht="13.5" customHeight="1">
      <c r="A617" s="8"/>
      <c r="B617" s="278"/>
      <c r="C617" s="8"/>
      <c r="D617" s="278"/>
      <c r="E617" s="278"/>
      <c r="F617" s="278"/>
      <c r="G617" s="278"/>
      <c r="H617" s="278"/>
      <c r="I617" s="27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278"/>
      <c r="AC617" s="8"/>
      <c r="AD617" s="8"/>
      <c r="AE617" s="8"/>
    </row>
    <row r="618" ht="13.5" customHeight="1">
      <c r="A618" s="8"/>
      <c r="B618" s="278"/>
      <c r="C618" s="8"/>
      <c r="D618" s="278"/>
      <c r="E618" s="278"/>
      <c r="F618" s="278"/>
      <c r="G618" s="278"/>
      <c r="H618" s="278"/>
      <c r="I618" s="27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278"/>
      <c r="AC618" s="8"/>
      <c r="AD618" s="8"/>
      <c r="AE618" s="8"/>
    </row>
    <row r="619" ht="13.5" customHeight="1">
      <c r="A619" s="8"/>
      <c r="B619" s="278"/>
      <c r="C619" s="8"/>
      <c r="D619" s="278"/>
      <c r="E619" s="278"/>
      <c r="F619" s="278"/>
      <c r="G619" s="278"/>
      <c r="H619" s="278"/>
      <c r="I619" s="27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278"/>
      <c r="AC619" s="8"/>
      <c r="AD619" s="8"/>
      <c r="AE619" s="8"/>
    </row>
    <row r="620" ht="13.5" customHeight="1">
      <c r="A620" s="8"/>
      <c r="B620" s="278"/>
      <c r="C620" s="8"/>
      <c r="D620" s="278"/>
      <c r="E620" s="278"/>
      <c r="F620" s="278"/>
      <c r="G620" s="278"/>
      <c r="H620" s="278"/>
      <c r="I620" s="27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278"/>
      <c r="AC620" s="8"/>
      <c r="AD620" s="8"/>
      <c r="AE620" s="8"/>
    </row>
    <row r="621" ht="13.5" customHeight="1">
      <c r="A621" s="8"/>
      <c r="B621" s="278"/>
      <c r="C621" s="8"/>
      <c r="D621" s="278"/>
      <c r="E621" s="278"/>
      <c r="F621" s="278"/>
      <c r="G621" s="278"/>
      <c r="H621" s="278"/>
      <c r="I621" s="27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278"/>
      <c r="AC621" s="8"/>
      <c r="AD621" s="8"/>
      <c r="AE621" s="8"/>
    </row>
    <row r="622" ht="13.5" customHeight="1">
      <c r="A622" s="8"/>
      <c r="B622" s="278"/>
      <c r="C622" s="8"/>
      <c r="D622" s="278"/>
      <c r="E622" s="278"/>
      <c r="F622" s="278"/>
      <c r="G622" s="278"/>
      <c r="H622" s="278"/>
      <c r="I622" s="27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278"/>
      <c r="AC622" s="8"/>
      <c r="AD622" s="8"/>
      <c r="AE622" s="8"/>
    </row>
    <row r="623" ht="13.5" customHeight="1">
      <c r="A623" s="8"/>
      <c r="B623" s="278"/>
      <c r="C623" s="8"/>
      <c r="D623" s="278"/>
      <c r="E623" s="278"/>
      <c r="F623" s="278"/>
      <c r="G623" s="278"/>
      <c r="H623" s="278"/>
      <c r="I623" s="27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278"/>
      <c r="AC623" s="8"/>
      <c r="AD623" s="8"/>
      <c r="AE623" s="8"/>
    </row>
    <row r="624" ht="13.5" customHeight="1">
      <c r="A624" s="8"/>
      <c r="B624" s="278"/>
      <c r="C624" s="8"/>
      <c r="D624" s="278"/>
      <c r="E624" s="278"/>
      <c r="F624" s="278"/>
      <c r="G624" s="278"/>
      <c r="H624" s="278"/>
      <c r="I624" s="27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278"/>
      <c r="AC624" s="8"/>
      <c r="AD624" s="8"/>
      <c r="AE624" s="8"/>
    </row>
    <row r="625" ht="13.5" customHeight="1">
      <c r="A625" s="8"/>
      <c r="B625" s="278"/>
      <c r="C625" s="8"/>
      <c r="D625" s="278"/>
      <c r="E625" s="278"/>
      <c r="F625" s="278"/>
      <c r="G625" s="278"/>
      <c r="H625" s="278"/>
      <c r="I625" s="27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278"/>
      <c r="AC625" s="8"/>
      <c r="AD625" s="8"/>
      <c r="AE625" s="8"/>
    </row>
    <row r="626" ht="13.5" customHeight="1">
      <c r="A626" s="8"/>
      <c r="B626" s="278"/>
      <c r="C626" s="8"/>
      <c r="D626" s="278"/>
      <c r="E626" s="278"/>
      <c r="F626" s="278"/>
      <c r="G626" s="278"/>
      <c r="H626" s="278"/>
      <c r="I626" s="27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278"/>
      <c r="AC626" s="8"/>
      <c r="AD626" s="8"/>
      <c r="AE626" s="8"/>
    </row>
    <row r="627" ht="13.5" customHeight="1">
      <c r="A627" s="8"/>
      <c r="B627" s="278"/>
      <c r="C627" s="8"/>
      <c r="D627" s="278"/>
      <c r="E627" s="278"/>
      <c r="F627" s="278"/>
      <c r="G627" s="278"/>
      <c r="H627" s="278"/>
      <c r="I627" s="27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278"/>
      <c r="AC627" s="8"/>
      <c r="AD627" s="8"/>
      <c r="AE627" s="8"/>
    </row>
    <row r="628" ht="13.5" customHeight="1">
      <c r="A628" s="8"/>
      <c r="B628" s="278"/>
      <c r="C628" s="8"/>
      <c r="D628" s="278"/>
      <c r="E628" s="278"/>
      <c r="F628" s="278"/>
      <c r="G628" s="278"/>
      <c r="H628" s="278"/>
      <c r="I628" s="27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278"/>
      <c r="AC628" s="8"/>
      <c r="AD628" s="8"/>
      <c r="AE628" s="8"/>
    </row>
    <row r="629" ht="13.5" customHeight="1">
      <c r="A629" s="8"/>
      <c r="B629" s="278"/>
      <c r="C629" s="8"/>
      <c r="D629" s="278"/>
      <c r="E629" s="278"/>
      <c r="F629" s="278"/>
      <c r="G629" s="278"/>
      <c r="H629" s="278"/>
      <c r="I629" s="27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278"/>
      <c r="AC629" s="8"/>
      <c r="AD629" s="8"/>
      <c r="AE629" s="8"/>
    </row>
    <row r="630" ht="13.5" customHeight="1">
      <c r="A630" s="8"/>
      <c r="B630" s="278"/>
      <c r="C630" s="8"/>
      <c r="D630" s="278"/>
      <c r="E630" s="278"/>
      <c r="F630" s="278"/>
      <c r="G630" s="278"/>
      <c r="H630" s="278"/>
      <c r="I630" s="27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278"/>
      <c r="AC630" s="8"/>
      <c r="AD630" s="8"/>
      <c r="AE630" s="8"/>
    </row>
    <row r="631" ht="13.5" customHeight="1">
      <c r="A631" s="8"/>
      <c r="B631" s="278"/>
      <c r="C631" s="8"/>
      <c r="D631" s="278"/>
      <c r="E631" s="278"/>
      <c r="F631" s="278"/>
      <c r="G631" s="278"/>
      <c r="H631" s="278"/>
      <c r="I631" s="27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278"/>
      <c r="AC631" s="8"/>
      <c r="AD631" s="8"/>
      <c r="AE631" s="8"/>
    </row>
    <row r="632" ht="13.5" customHeight="1">
      <c r="A632" s="8"/>
      <c r="B632" s="278"/>
      <c r="C632" s="8"/>
      <c r="D632" s="278"/>
      <c r="E632" s="278"/>
      <c r="F632" s="278"/>
      <c r="G632" s="278"/>
      <c r="H632" s="278"/>
      <c r="I632" s="27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278"/>
      <c r="AC632" s="8"/>
      <c r="AD632" s="8"/>
      <c r="AE632" s="8"/>
    </row>
    <row r="633" ht="13.5" customHeight="1">
      <c r="A633" s="8"/>
      <c r="B633" s="278"/>
      <c r="C633" s="8"/>
      <c r="D633" s="278"/>
      <c r="E633" s="278"/>
      <c r="F633" s="278"/>
      <c r="G633" s="278"/>
      <c r="H633" s="278"/>
      <c r="I633" s="27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278"/>
      <c r="AC633" s="8"/>
      <c r="AD633" s="8"/>
      <c r="AE633" s="8"/>
    </row>
    <row r="634" ht="13.5" customHeight="1">
      <c r="A634" s="8"/>
      <c r="B634" s="278"/>
      <c r="C634" s="8"/>
      <c r="D634" s="278"/>
      <c r="E634" s="278"/>
      <c r="F634" s="278"/>
      <c r="G634" s="278"/>
      <c r="H634" s="278"/>
      <c r="I634" s="27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278"/>
      <c r="AC634" s="8"/>
      <c r="AD634" s="8"/>
      <c r="AE634" s="8"/>
    </row>
    <row r="635" ht="13.5" customHeight="1">
      <c r="A635" s="8"/>
      <c r="B635" s="278"/>
      <c r="C635" s="8"/>
      <c r="D635" s="278"/>
      <c r="E635" s="278"/>
      <c r="F635" s="278"/>
      <c r="G635" s="278"/>
      <c r="H635" s="278"/>
      <c r="I635" s="27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278"/>
      <c r="AC635" s="8"/>
      <c r="AD635" s="8"/>
      <c r="AE635" s="8"/>
    </row>
    <row r="636" ht="13.5" customHeight="1">
      <c r="A636" s="8"/>
      <c r="B636" s="278"/>
      <c r="C636" s="8"/>
      <c r="D636" s="278"/>
      <c r="E636" s="278"/>
      <c r="F636" s="278"/>
      <c r="G636" s="278"/>
      <c r="H636" s="278"/>
      <c r="I636" s="27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278"/>
      <c r="AC636" s="8"/>
      <c r="AD636" s="8"/>
      <c r="AE636" s="8"/>
    </row>
    <row r="637" ht="13.5" customHeight="1">
      <c r="A637" s="8"/>
      <c r="B637" s="278"/>
      <c r="C637" s="8"/>
      <c r="D637" s="278"/>
      <c r="E637" s="278"/>
      <c r="F637" s="278"/>
      <c r="G637" s="278"/>
      <c r="H637" s="278"/>
      <c r="I637" s="27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278"/>
      <c r="AC637" s="8"/>
      <c r="AD637" s="8"/>
      <c r="AE637" s="8"/>
    </row>
    <row r="638" ht="13.5" customHeight="1">
      <c r="A638" s="8"/>
      <c r="B638" s="278"/>
      <c r="C638" s="8"/>
      <c r="D638" s="278"/>
      <c r="E638" s="278"/>
      <c r="F638" s="278"/>
      <c r="G638" s="278"/>
      <c r="H638" s="278"/>
      <c r="I638" s="27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278"/>
      <c r="AC638" s="8"/>
      <c r="AD638" s="8"/>
      <c r="AE638" s="8"/>
    </row>
    <row r="639" ht="13.5" customHeight="1">
      <c r="A639" s="8"/>
      <c r="B639" s="278"/>
      <c r="C639" s="8"/>
      <c r="D639" s="278"/>
      <c r="E639" s="278"/>
      <c r="F639" s="278"/>
      <c r="G639" s="278"/>
      <c r="H639" s="278"/>
      <c r="I639" s="27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278"/>
      <c r="AC639" s="8"/>
      <c r="AD639" s="8"/>
      <c r="AE639" s="8"/>
    </row>
    <row r="640" ht="13.5" customHeight="1">
      <c r="A640" s="8"/>
      <c r="B640" s="278"/>
      <c r="C640" s="8"/>
      <c r="D640" s="278"/>
      <c r="E640" s="278"/>
      <c r="F640" s="278"/>
      <c r="G640" s="278"/>
      <c r="H640" s="278"/>
      <c r="I640" s="27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278"/>
      <c r="AC640" s="8"/>
      <c r="AD640" s="8"/>
      <c r="AE640" s="8"/>
    </row>
    <row r="641" ht="13.5" customHeight="1">
      <c r="A641" s="8"/>
      <c r="B641" s="278"/>
      <c r="C641" s="8"/>
      <c r="D641" s="278"/>
      <c r="E641" s="278"/>
      <c r="F641" s="278"/>
      <c r="G641" s="278"/>
      <c r="H641" s="278"/>
      <c r="I641" s="27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278"/>
      <c r="AC641" s="8"/>
      <c r="AD641" s="8"/>
      <c r="AE641" s="8"/>
    </row>
    <row r="642" ht="13.5" customHeight="1">
      <c r="A642" s="8"/>
      <c r="B642" s="278"/>
      <c r="C642" s="8"/>
      <c r="D642" s="278"/>
      <c r="E642" s="278"/>
      <c r="F642" s="278"/>
      <c r="G642" s="278"/>
      <c r="H642" s="278"/>
      <c r="I642" s="27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278"/>
      <c r="AC642" s="8"/>
      <c r="AD642" s="8"/>
      <c r="AE642" s="8"/>
    </row>
    <row r="643" ht="13.5" customHeight="1">
      <c r="A643" s="8"/>
      <c r="B643" s="278"/>
      <c r="C643" s="8"/>
      <c r="D643" s="278"/>
      <c r="E643" s="278"/>
      <c r="F643" s="278"/>
      <c r="G643" s="278"/>
      <c r="H643" s="278"/>
      <c r="I643" s="27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278"/>
      <c r="AC643" s="8"/>
      <c r="AD643" s="8"/>
      <c r="AE643" s="8"/>
    </row>
    <row r="644" ht="13.5" customHeight="1">
      <c r="A644" s="8"/>
      <c r="B644" s="278"/>
      <c r="C644" s="8"/>
      <c r="D644" s="278"/>
      <c r="E644" s="278"/>
      <c r="F644" s="278"/>
      <c r="G644" s="278"/>
      <c r="H644" s="278"/>
      <c r="I644" s="27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278"/>
      <c r="AC644" s="8"/>
      <c r="AD644" s="8"/>
      <c r="AE644" s="8"/>
    </row>
    <row r="645" ht="13.5" customHeight="1">
      <c r="A645" s="8"/>
      <c r="B645" s="278"/>
      <c r="C645" s="8"/>
      <c r="D645" s="278"/>
      <c r="E645" s="278"/>
      <c r="F645" s="278"/>
      <c r="G645" s="278"/>
      <c r="H645" s="278"/>
      <c r="I645" s="27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278"/>
      <c r="AC645" s="8"/>
      <c r="AD645" s="8"/>
      <c r="AE645" s="8"/>
    </row>
    <row r="646" ht="13.5" customHeight="1">
      <c r="A646" s="8"/>
      <c r="B646" s="278"/>
      <c r="C646" s="8"/>
      <c r="D646" s="278"/>
      <c r="E646" s="278"/>
      <c r="F646" s="278"/>
      <c r="G646" s="278"/>
      <c r="H646" s="278"/>
      <c r="I646" s="27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278"/>
      <c r="AC646" s="8"/>
      <c r="AD646" s="8"/>
      <c r="AE646" s="8"/>
    </row>
    <row r="647" ht="13.5" customHeight="1">
      <c r="A647" s="8"/>
      <c r="B647" s="278"/>
      <c r="C647" s="8"/>
      <c r="D647" s="278"/>
      <c r="E647" s="278"/>
      <c r="F647" s="278"/>
      <c r="G647" s="278"/>
      <c r="H647" s="278"/>
      <c r="I647" s="27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278"/>
      <c r="AC647" s="8"/>
      <c r="AD647" s="8"/>
      <c r="AE647" s="8"/>
    </row>
    <row r="648" ht="13.5" customHeight="1">
      <c r="A648" s="8"/>
      <c r="B648" s="278"/>
      <c r="C648" s="8"/>
      <c r="D648" s="278"/>
      <c r="E648" s="278"/>
      <c r="F648" s="278"/>
      <c r="G648" s="278"/>
      <c r="H648" s="278"/>
      <c r="I648" s="27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278"/>
      <c r="AC648" s="8"/>
      <c r="AD648" s="8"/>
      <c r="AE648" s="8"/>
    </row>
    <row r="649" ht="13.5" customHeight="1">
      <c r="A649" s="8"/>
      <c r="B649" s="278"/>
      <c r="C649" s="8"/>
      <c r="D649" s="278"/>
      <c r="E649" s="278"/>
      <c r="F649" s="278"/>
      <c r="G649" s="278"/>
      <c r="H649" s="278"/>
      <c r="I649" s="27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278"/>
      <c r="AC649" s="8"/>
      <c r="AD649" s="8"/>
      <c r="AE649" s="8"/>
    </row>
    <row r="650" ht="13.5" customHeight="1">
      <c r="A650" s="8"/>
      <c r="B650" s="278"/>
      <c r="C650" s="8"/>
      <c r="D650" s="278"/>
      <c r="E650" s="278"/>
      <c r="F650" s="278"/>
      <c r="G650" s="278"/>
      <c r="H650" s="278"/>
      <c r="I650" s="27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278"/>
      <c r="AC650" s="8"/>
      <c r="AD650" s="8"/>
      <c r="AE650" s="8"/>
    </row>
    <row r="651" ht="13.5" customHeight="1">
      <c r="A651" s="8"/>
      <c r="B651" s="278"/>
      <c r="C651" s="8"/>
      <c r="D651" s="278"/>
      <c r="E651" s="278"/>
      <c r="F651" s="278"/>
      <c r="G651" s="278"/>
      <c r="H651" s="278"/>
      <c r="I651" s="27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278"/>
      <c r="AC651" s="8"/>
      <c r="AD651" s="8"/>
      <c r="AE651" s="8"/>
    </row>
    <row r="652" ht="13.5" customHeight="1">
      <c r="A652" s="8"/>
      <c r="B652" s="278"/>
      <c r="C652" s="8"/>
      <c r="D652" s="278"/>
      <c r="E652" s="278"/>
      <c r="F652" s="278"/>
      <c r="G652" s="278"/>
      <c r="H652" s="278"/>
      <c r="I652" s="27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278"/>
      <c r="AC652" s="8"/>
      <c r="AD652" s="8"/>
      <c r="AE652" s="8"/>
    </row>
    <row r="653" ht="13.5" customHeight="1">
      <c r="A653" s="8"/>
      <c r="B653" s="278"/>
      <c r="C653" s="8"/>
      <c r="D653" s="278"/>
      <c r="E653" s="278"/>
      <c r="F653" s="278"/>
      <c r="G653" s="278"/>
      <c r="H653" s="278"/>
      <c r="I653" s="27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278"/>
      <c r="AC653" s="8"/>
      <c r="AD653" s="8"/>
      <c r="AE653" s="8"/>
    </row>
    <row r="654" ht="13.5" customHeight="1">
      <c r="A654" s="8"/>
      <c r="B654" s="278"/>
      <c r="C654" s="8"/>
      <c r="D654" s="278"/>
      <c r="E654" s="278"/>
      <c r="F654" s="278"/>
      <c r="G654" s="278"/>
      <c r="H654" s="278"/>
      <c r="I654" s="27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278"/>
      <c r="AC654" s="8"/>
      <c r="AD654" s="8"/>
      <c r="AE654" s="8"/>
    </row>
    <row r="655" ht="13.5" customHeight="1">
      <c r="A655" s="8"/>
      <c r="B655" s="278"/>
      <c r="C655" s="8"/>
      <c r="D655" s="278"/>
      <c r="E655" s="278"/>
      <c r="F655" s="278"/>
      <c r="G655" s="278"/>
      <c r="H655" s="278"/>
      <c r="I655" s="27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278"/>
      <c r="AC655" s="8"/>
      <c r="AD655" s="8"/>
      <c r="AE655" s="8"/>
    </row>
    <row r="656" ht="13.5" customHeight="1">
      <c r="A656" s="8"/>
      <c r="B656" s="278"/>
      <c r="C656" s="8"/>
      <c r="D656" s="278"/>
      <c r="E656" s="278"/>
      <c r="F656" s="278"/>
      <c r="G656" s="278"/>
      <c r="H656" s="278"/>
      <c r="I656" s="27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278"/>
      <c r="AC656" s="8"/>
      <c r="AD656" s="8"/>
      <c r="AE656" s="8"/>
    </row>
    <row r="657" ht="13.5" customHeight="1">
      <c r="A657" s="8"/>
      <c r="B657" s="278"/>
      <c r="C657" s="8"/>
      <c r="D657" s="278"/>
      <c r="E657" s="278"/>
      <c r="F657" s="278"/>
      <c r="G657" s="278"/>
      <c r="H657" s="278"/>
      <c r="I657" s="27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278"/>
      <c r="AC657" s="8"/>
      <c r="AD657" s="8"/>
      <c r="AE657" s="8"/>
    </row>
    <row r="658" ht="13.5" customHeight="1">
      <c r="A658" s="8"/>
      <c r="B658" s="278"/>
      <c r="C658" s="8"/>
      <c r="D658" s="278"/>
      <c r="E658" s="278"/>
      <c r="F658" s="278"/>
      <c r="G658" s="278"/>
      <c r="H658" s="278"/>
      <c r="I658" s="27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278"/>
      <c r="AC658" s="8"/>
      <c r="AD658" s="8"/>
      <c r="AE658" s="8"/>
    </row>
    <row r="659" ht="13.5" customHeight="1">
      <c r="A659" s="8"/>
      <c r="B659" s="278"/>
      <c r="C659" s="8"/>
      <c r="D659" s="278"/>
      <c r="E659" s="278"/>
      <c r="F659" s="278"/>
      <c r="G659" s="278"/>
      <c r="H659" s="278"/>
      <c r="I659" s="27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278"/>
      <c r="AC659" s="8"/>
      <c r="AD659" s="8"/>
      <c r="AE659" s="8"/>
    </row>
    <row r="660" ht="13.5" customHeight="1">
      <c r="A660" s="8"/>
      <c r="B660" s="278"/>
      <c r="C660" s="8"/>
      <c r="D660" s="278"/>
      <c r="E660" s="278"/>
      <c r="F660" s="278"/>
      <c r="G660" s="278"/>
      <c r="H660" s="278"/>
      <c r="I660" s="27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278"/>
      <c r="AC660" s="8"/>
      <c r="AD660" s="8"/>
      <c r="AE660" s="8"/>
    </row>
    <row r="661" ht="13.5" customHeight="1">
      <c r="A661" s="8"/>
      <c r="B661" s="278"/>
      <c r="C661" s="8"/>
      <c r="D661" s="278"/>
      <c r="E661" s="278"/>
      <c r="F661" s="278"/>
      <c r="G661" s="278"/>
      <c r="H661" s="278"/>
      <c r="I661" s="27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278"/>
      <c r="AC661" s="8"/>
      <c r="AD661" s="8"/>
      <c r="AE661" s="8"/>
    </row>
    <row r="662" ht="13.5" customHeight="1">
      <c r="A662" s="8"/>
      <c r="B662" s="278"/>
      <c r="C662" s="8"/>
      <c r="D662" s="278"/>
      <c r="E662" s="278"/>
      <c r="F662" s="278"/>
      <c r="G662" s="278"/>
      <c r="H662" s="278"/>
      <c r="I662" s="27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278"/>
      <c r="AC662" s="8"/>
      <c r="AD662" s="8"/>
      <c r="AE662" s="8"/>
    </row>
    <row r="663" ht="13.5" customHeight="1">
      <c r="A663" s="8"/>
      <c r="B663" s="278"/>
      <c r="C663" s="8"/>
      <c r="D663" s="278"/>
      <c r="E663" s="278"/>
      <c r="F663" s="278"/>
      <c r="G663" s="278"/>
      <c r="H663" s="278"/>
      <c r="I663" s="27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278"/>
      <c r="AC663" s="8"/>
      <c r="AD663" s="8"/>
      <c r="AE663" s="8"/>
    </row>
    <row r="664" ht="13.5" customHeight="1">
      <c r="A664" s="8"/>
      <c r="B664" s="278"/>
      <c r="C664" s="8"/>
      <c r="D664" s="278"/>
      <c r="E664" s="278"/>
      <c r="F664" s="278"/>
      <c r="G664" s="278"/>
      <c r="H664" s="278"/>
      <c r="I664" s="27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278"/>
      <c r="AC664" s="8"/>
      <c r="AD664" s="8"/>
      <c r="AE664" s="8"/>
    </row>
    <row r="665" ht="13.5" customHeight="1">
      <c r="A665" s="8"/>
      <c r="B665" s="278"/>
      <c r="C665" s="8"/>
      <c r="D665" s="278"/>
      <c r="E665" s="278"/>
      <c r="F665" s="278"/>
      <c r="G665" s="278"/>
      <c r="H665" s="278"/>
      <c r="I665" s="27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278"/>
      <c r="AC665" s="8"/>
      <c r="AD665" s="8"/>
      <c r="AE665" s="8"/>
    </row>
    <row r="666" ht="13.5" customHeight="1">
      <c r="A666" s="8"/>
      <c r="B666" s="278"/>
      <c r="C666" s="8"/>
      <c r="D666" s="278"/>
      <c r="E666" s="278"/>
      <c r="F666" s="278"/>
      <c r="G666" s="278"/>
      <c r="H666" s="278"/>
      <c r="I666" s="27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278"/>
      <c r="AC666" s="8"/>
      <c r="AD666" s="8"/>
      <c r="AE666" s="8"/>
    </row>
    <row r="667" ht="13.5" customHeight="1">
      <c r="A667" s="8"/>
      <c r="B667" s="278"/>
      <c r="C667" s="8"/>
      <c r="D667" s="278"/>
      <c r="E667" s="278"/>
      <c r="F667" s="278"/>
      <c r="G667" s="278"/>
      <c r="H667" s="278"/>
      <c r="I667" s="27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278"/>
      <c r="AC667" s="8"/>
      <c r="AD667" s="8"/>
      <c r="AE667" s="8"/>
    </row>
    <row r="668" ht="13.5" customHeight="1">
      <c r="A668" s="8"/>
      <c r="B668" s="278"/>
      <c r="C668" s="8"/>
      <c r="D668" s="278"/>
      <c r="E668" s="278"/>
      <c r="F668" s="278"/>
      <c r="G668" s="278"/>
      <c r="H668" s="278"/>
      <c r="I668" s="27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278"/>
      <c r="AC668" s="8"/>
      <c r="AD668" s="8"/>
      <c r="AE668" s="8"/>
    </row>
    <row r="669" ht="13.5" customHeight="1">
      <c r="A669" s="8"/>
      <c r="B669" s="278"/>
      <c r="C669" s="8"/>
      <c r="D669" s="278"/>
      <c r="E669" s="278"/>
      <c r="F669" s="278"/>
      <c r="G669" s="278"/>
      <c r="H669" s="278"/>
      <c r="I669" s="27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278"/>
      <c r="AC669" s="8"/>
      <c r="AD669" s="8"/>
      <c r="AE669" s="8"/>
    </row>
    <row r="670" ht="13.5" customHeight="1">
      <c r="A670" s="8"/>
      <c r="B670" s="278"/>
      <c r="C670" s="8"/>
      <c r="D670" s="278"/>
      <c r="E670" s="278"/>
      <c r="F670" s="278"/>
      <c r="G670" s="278"/>
      <c r="H670" s="278"/>
      <c r="I670" s="27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278"/>
      <c r="AC670" s="8"/>
      <c r="AD670" s="8"/>
      <c r="AE670" s="8"/>
    </row>
    <row r="671" ht="13.5" customHeight="1">
      <c r="A671" s="8"/>
      <c r="B671" s="278"/>
      <c r="C671" s="8"/>
      <c r="D671" s="278"/>
      <c r="E671" s="278"/>
      <c r="F671" s="278"/>
      <c r="G671" s="278"/>
      <c r="H671" s="278"/>
      <c r="I671" s="27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278"/>
      <c r="AC671" s="8"/>
      <c r="AD671" s="8"/>
      <c r="AE671" s="8"/>
    </row>
    <row r="672" ht="13.5" customHeight="1">
      <c r="A672" s="8"/>
      <c r="B672" s="278"/>
      <c r="C672" s="8"/>
      <c r="D672" s="278"/>
      <c r="E672" s="278"/>
      <c r="F672" s="278"/>
      <c r="G672" s="278"/>
      <c r="H672" s="278"/>
      <c r="I672" s="27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278"/>
      <c r="AC672" s="8"/>
      <c r="AD672" s="8"/>
      <c r="AE672" s="8"/>
    </row>
    <row r="673" ht="13.5" customHeight="1">
      <c r="A673" s="8"/>
      <c r="B673" s="278"/>
      <c r="C673" s="8"/>
      <c r="D673" s="278"/>
      <c r="E673" s="278"/>
      <c r="F673" s="278"/>
      <c r="G673" s="278"/>
      <c r="H673" s="278"/>
      <c r="I673" s="27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278"/>
      <c r="AC673" s="8"/>
      <c r="AD673" s="8"/>
      <c r="AE673" s="8"/>
    </row>
    <row r="674" ht="13.5" customHeight="1">
      <c r="A674" s="8"/>
      <c r="B674" s="278"/>
      <c r="C674" s="8"/>
      <c r="D674" s="278"/>
      <c r="E674" s="278"/>
      <c r="F674" s="278"/>
      <c r="G674" s="278"/>
      <c r="H674" s="278"/>
      <c r="I674" s="27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278"/>
      <c r="AC674" s="8"/>
      <c r="AD674" s="8"/>
      <c r="AE674" s="8"/>
    </row>
    <row r="675" ht="13.5" customHeight="1">
      <c r="A675" s="8"/>
      <c r="B675" s="278"/>
      <c r="C675" s="8"/>
      <c r="D675" s="278"/>
      <c r="E675" s="278"/>
      <c r="F675" s="278"/>
      <c r="G675" s="278"/>
      <c r="H675" s="278"/>
      <c r="I675" s="27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278"/>
      <c r="AC675" s="8"/>
      <c r="AD675" s="8"/>
      <c r="AE675" s="8"/>
    </row>
    <row r="676" ht="13.5" customHeight="1">
      <c r="A676" s="8"/>
      <c r="B676" s="278"/>
      <c r="C676" s="8"/>
      <c r="D676" s="278"/>
      <c r="E676" s="278"/>
      <c r="F676" s="278"/>
      <c r="G676" s="278"/>
      <c r="H676" s="278"/>
      <c r="I676" s="27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278"/>
      <c r="AC676" s="8"/>
      <c r="AD676" s="8"/>
      <c r="AE676" s="8"/>
    </row>
    <row r="677" ht="13.5" customHeight="1">
      <c r="A677" s="8"/>
      <c r="B677" s="278"/>
      <c r="C677" s="8"/>
      <c r="D677" s="278"/>
      <c r="E677" s="278"/>
      <c r="F677" s="278"/>
      <c r="G677" s="278"/>
      <c r="H677" s="278"/>
      <c r="I677" s="27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278"/>
      <c r="AC677" s="8"/>
      <c r="AD677" s="8"/>
      <c r="AE677" s="8"/>
    </row>
    <row r="678" ht="13.5" customHeight="1">
      <c r="A678" s="8"/>
      <c r="B678" s="278"/>
      <c r="C678" s="8"/>
      <c r="D678" s="278"/>
      <c r="E678" s="278"/>
      <c r="F678" s="278"/>
      <c r="G678" s="278"/>
      <c r="H678" s="278"/>
      <c r="I678" s="27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278"/>
      <c r="AC678" s="8"/>
      <c r="AD678" s="8"/>
      <c r="AE678" s="8"/>
    </row>
    <row r="679" ht="13.5" customHeight="1">
      <c r="A679" s="8"/>
      <c r="B679" s="278"/>
      <c r="C679" s="8"/>
      <c r="D679" s="278"/>
      <c r="E679" s="278"/>
      <c r="F679" s="278"/>
      <c r="G679" s="278"/>
      <c r="H679" s="278"/>
      <c r="I679" s="27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278"/>
      <c r="AC679" s="8"/>
      <c r="AD679" s="8"/>
      <c r="AE679" s="8"/>
    </row>
    <row r="680" ht="13.5" customHeight="1">
      <c r="A680" s="8"/>
      <c r="B680" s="278"/>
      <c r="C680" s="8"/>
      <c r="D680" s="278"/>
      <c r="E680" s="278"/>
      <c r="F680" s="278"/>
      <c r="G680" s="278"/>
      <c r="H680" s="278"/>
      <c r="I680" s="27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278"/>
      <c r="AC680" s="8"/>
      <c r="AD680" s="8"/>
      <c r="AE680" s="8"/>
    </row>
    <row r="681" ht="13.5" customHeight="1">
      <c r="A681" s="8"/>
      <c r="B681" s="278"/>
      <c r="C681" s="8"/>
      <c r="D681" s="278"/>
      <c r="E681" s="278"/>
      <c r="F681" s="278"/>
      <c r="G681" s="278"/>
      <c r="H681" s="278"/>
      <c r="I681" s="27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278"/>
      <c r="AC681" s="8"/>
      <c r="AD681" s="8"/>
      <c r="AE681" s="8"/>
    </row>
    <row r="682" ht="13.5" customHeight="1">
      <c r="A682" s="8"/>
      <c r="B682" s="278"/>
      <c r="C682" s="8"/>
      <c r="D682" s="278"/>
      <c r="E682" s="278"/>
      <c r="F682" s="278"/>
      <c r="G682" s="278"/>
      <c r="H682" s="278"/>
      <c r="I682" s="27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278"/>
      <c r="AC682" s="8"/>
      <c r="AD682" s="8"/>
      <c r="AE682" s="8"/>
    </row>
    <row r="683" ht="13.5" customHeight="1">
      <c r="A683" s="8"/>
      <c r="B683" s="278"/>
      <c r="C683" s="8"/>
      <c r="D683" s="278"/>
      <c r="E683" s="278"/>
      <c r="F683" s="278"/>
      <c r="G683" s="278"/>
      <c r="H683" s="278"/>
      <c r="I683" s="27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278"/>
      <c r="AC683" s="8"/>
      <c r="AD683" s="8"/>
      <c r="AE683" s="8"/>
    </row>
    <row r="684" ht="13.5" customHeight="1">
      <c r="A684" s="8"/>
      <c r="B684" s="278"/>
      <c r="C684" s="8"/>
      <c r="D684" s="278"/>
      <c r="E684" s="278"/>
      <c r="F684" s="278"/>
      <c r="G684" s="278"/>
      <c r="H684" s="278"/>
      <c r="I684" s="27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278"/>
      <c r="AC684" s="8"/>
      <c r="AD684" s="8"/>
      <c r="AE684" s="8"/>
    </row>
    <row r="685" ht="13.5" customHeight="1">
      <c r="A685" s="8"/>
      <c r="B685" s="278"/>
      <c r="C685" s="8"/>
      <c r="D685" s="278"/>
      <c r="E685" s="278"/>
      <c r="F685" s="278"/>
      <c r="G685" s="278"/>
      <c r="H685" s="278"/>
      <c r="I685" s="27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278"/>
      <c r="AC685" s="8"/>
      <c r="AD685" s="8"/>
      <c r="AE685" s="8"/>
    </row>
    <row r="686" ht="13.5" customHeight="1">
      <c r="A686" s="8"/>
      <c r="B686" s="278"/>
      <c r="C686" s="8"/>
      <c r="D686" s="278"/>
      <c r="E686" s="278"/>
      <c r="F686" s="278"/>
      <c r="G686" s="278"/>
      <c r="H686" s="278"/>
      <c r="I686" s="27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278"/>
      <c r="AC686" s="8"/>
      <c r="AD686" s="8"/>
      <c r="AE686" s="8"/>
    </row>
    <row r="687" ht="13.5" customHeight="1">
      <c r="A687" s="8"/>
      <c r="B687" s="278"/>
      <c r="C687" s="8"/>
      <c r="D687" s="278"/>
      <c r="E687" s="278"/>
      <c r="F687" s="278"/>
      <c r="G687" s="278"/>
      <c r="H687" s="278"/>
      <c r="I687" s="27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278"/>
      <c r="AC687" s="8"/>
      <c r="AD687" s="8"/>
      <c r="AE687" s="8"/>
    </row>
    <row r="688" ht="13.5" customHeight="1">
      <c r="A688" s="8"/>
      <c r="B688" s="278"/>
      <c r="C688" s="8"/>
      <c r="D688" s="278"/>
      <c r="E688" s="278"/>
      <c r="F688" s="278"/>
      <c r="G688" s="278"/>
      <c r="H688" s="278"/>
      <c r="I688" s="27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278"/>
      <c r="AC688" s="8"/>
      <c r="AD688" s="8"/>
      <c r="AE688" s="8"/>
    </row>
    <row r="689" ht="13.5" customHeight="1">
      <c r="A689" s="8"/>
      <c r="B689" s="278"/>
      <c r="C689" s="8"/>
      <c r="D689" s="278"/>
      <c r="E689" s="278"/>
      <c r="F689" s="278"/>
      <c r="G689" s="278"/>
      <c r="H689" s="278"/>
      <c r="I689" s="27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278"/>
      <c r="AC689" s="8"/>
      <c r="AD689" s="8"/>
      <c r="AE689" s="8"/>
    </row>
    <row r="690" ht="13.5" customHeight="1">
      <c r="A690" s="8"/>
      <c r="B690" s="278"/>
      <c r="C690" s="8"/>
      <c r="D690" s="278"/>
      <c r="E690" s="278"/>
      <c r="F690" s="278"/>
      <c r="G690" s="278"/>
      <c r="H690" s="278"/>
      <c r="I690" s="27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278"/>
      <c r="AC690" s="8"/>
      <c r="AD690" s="8"/>
      <c r="AE690" s="8"/>
    </row>
    <row r="691" ht="13.5" customHeight="1">
      <c r="A691" s="8"/>
      <c r="B691" s="278"/>
      <c r="C691" s="8"/>
      <c r="D691" s="278"/>
      <c r="E691" s="278"/>
      <c r="F691" s="278"/>
      <c r="G691" s="278"/>
      <c r="H691" s="278"/>
      <c r="I691" s="27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278"/>
      <c r="AC691" s="8"/>
      <c r="AD691" s="8"/>
      <c r="AE691" s="8"/>
    </row>
    <row r="692" ht="13.5" customHeight="1">
      <c r="A692" s="8"/>
      <c r="B692" s="278"/>
      <c r="C692" s="8"/>
      <c r="D692" s="278"/>
      <c r="E692" s="278"/>
      <c r="F692" s="278"/>
      <c r="G692" s="278"/>
      <c r="H692" s="278"/>
      <c r="I692" s="27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278"/>
      <c r="AC692" s="8"/>
      <c r="AD692" s="8"/>
      <c r="AE692" s="8"/>
    </row>
    <row r="693" ht="13.5" customHeight="1">
      <c r="A693" s="8"/>
      <c r="B693" s="278"/>
      <c r="C693" s="8"/>
      <c r="D693" s="278"/>
      <c r="E693" s="278"/>
      <c r="F693" s="278"/>
      <c r="G693" s="278"/>
      <c r="H693" s="278"/>
      <c r="I693" s="27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278"/>
      <c r="AC693" s="8"/>
      <c r="AD693" s="8"/>
      <c r="AE693" s="8"/>
    </row>
    <row r="694" ht="13.5" customHeight="1">
      <c r="A694" s="8"/>
      <c r="B694" s="278"/>
      <c r="C694" s="8"/>
      <c r="D694" s="278"/>
      <c r="E694" s="278"/>
      <c r="F694" s="278"/>
      <c r="G694" s="278"/>
      <c r="H694" s="278"/>
      <c r="I694" s="27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278"/>
      <c r="AC694" s="8"/>
      <c r="AD694" s="8"/>
      <c r="AE694" s="8"/>
    </row>
    <row r="695" ht="13.5" customHeight="1">
      <c r="A695" s="8"/>
      <c r="B695" s="278"/>
      <c r="C695" s="8"/>
      <c r="D695" s="278"/>
      <c r="E695" s="278"/>
      <c r="F695" s="278"/>
      <c r="G695" s="278"/>
      <c r="H695" s="278"/>
      <c r="I695" s="27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278"/>
      <c r="AC695" s="8"/>
      <c r="AD695" s="8"/>
      <c r="AE695" s="8"/>
    </row>
    <row r="696" ht="13.5" customHeight="1">
      <c r="A696" s="8"/>
      <c r="B696" s="278"/>
      <c r="C696" s="8"/>
      <c r="D696" s="278"/>
      <c r="E696" s="278"/>
      <c r="F696" s="278"/>
      <c r="G696" s="278"/>
      <c r="H696" s="278"/>
      <c r="I696" s="27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278"/>
      <c r="AC696" s="8"/>
      <c r="AD696" s="8"/>
      <c r="AE696" s="8"/>
    </row>
    <row r="697" ht="13.5" customHeight="1">
      <c r="A697" s="8"/>
      <c r="B697" s="278"/>
      <c r="C697" s="8"/>
      <c r="D697" s="278"/>
      <c r="E697" s="278"/>
      <c r="F697" s="278"/>
      <c r="G697" s="278"/>
      <c r="H697" s="278"/>
      <c r="I697" s="27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278"/>
      <c r="AC697" s="8"/>
      <c r="AD697" s="8"/>
      <c r="AE697" s="8"/>
    </row>
    <row r="698" ht="13.5" customHeight="1">
      <c r="A698" s="8"/>
      <c r="B698" s="278"/>
      <c r="C698" s="8"/>
      <c r="D698" s="278"/>
      <c r="E698" s="278"/>
      <c r="F698" s="278"/>
      <c r="G698" s="278"/>
      <c r="H698" s="278"/>
      <c r="I698" s="27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278"/>
      <c r="AC698" s="8"/>
      <c r="AD698" s="8"/>
      <c r="AE698" s="8"/>
    </row>
    <row r="699" ht="13.5" customHeight="1">
      <c r="A699" s="8"/>
      <c r="B699" s="278"/>
      <c r="C699" s="8"/>
      <c r="D699" s="278"/>
      <c r="E699" s="278"/>
      <c r="F699" s="278"/>
      <c r="G699" s="278"/>
      <c r="H699" s="278"/>
      <c r="I699" s="27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278"/>
      <c r="AC699" s="8"/>
      <c r="AD699" s="8"/>
      <c r="AE699" s="8"/>
    </row>
    <row r="700" ht="13.5" customHeight="1">
      <c r="A700" s="8"/>
      <c r="B700" s="278"/>
      <c r="C700" s="8"/>
      <c r="D700" s="278"/>
      <c r="E700" s="278"/>
      <c r="F700" s="278"/>
      <c r="G700" s="278"/>
      <c r="H700" s="278"/>
      <c r="I700" s="27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278"/>
      <c r="AC700" s="8"/>
      <c r="AD700" s="8"/>
      <c r="AE700" s="8"/>
    </row>
    <row r="701" ht="13.5" customHeight="1">
      <c r="A701" s="8"/>
      <c r="B701" s="278"/>
      <c r="C701" s="8"/>
      <c r="D701" s="278"/>
      <c r="E701" s="278"/>
      <c r="F701" s="278"/>
      <c r="G701" s="278"/>
      <c r="H701" s="278"/>
      <c r="I701" s="27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278"/>
      <c r="AC701" s="8"/>
      <c r="AD701" s="8"/>
      <c r="AE701" s="8"/>
    </row>
    <row r="702" ht="13.5" customHeight="1">
      <c r="A702" s="8"/>
      <c r="B702" s="278"/>
      <c r="C702" s="8"/>
      <c r="D702" s="278"/>
      <c r="E702" s="278"/>
      <c r="F702" s="278"/>
      <c r="G702" s="278"/>
      <c r="H702" s="278"/>
      <c r="I702" s="27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278"/>
      <c r="AC702" s="8"/>
      <c r="AD702" s="8"/>
      <c r="AE702" s="8"/>
    </row>
    <row r="703" ht="13.5" customHeight="1">
      <c r="A703" s="8"/>
      <c r="B703" s="278"/>
      <c r="C703" s="8"/>
      <c r="D703" s="278"/>
      <c r="E703" s="278"/>
      <c r="F703" s="278"/>
      <c r="G703" s="278"/>
      <c r="H703" s="278"/>
      <c r="I703" s="27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278"/>
      <c r="AC703" s="8"/>
      <c r="AD703" s="8"/>
      <c r="AE703" s="8"/>
    </row>
    <row r="704" ht="13.5" customHeight="1">
      <c r="A704" s="8"/>
      <c r="B704" s="278"/>
      <c r="C704" s="8"/>
      <c r="D704" s="278"/>
      <c r="E704" s="278"/>
      <c r="F704" s="278"/>
      <c r="G704" s="278"/>
      <c r="H704" s="278"/>
      <c r="I704" s="27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278"/>
      <c r="AC704" s="8"/>
      <c r="AD704" s="8"/>
      <c r="AE704" s="8"/>
    </row>
    <row r="705" ht="13.5" customHeight="1">
      <c r="A705" s="8"/>
      <c r="B705" s="278"/>
      <c r="C705" s="8"/>
      <c r="D705" s="278"/>
      <c r="E705" s="278"/>
      <c r="F705" s="278"/>
      <c r="G705" s="278"/>
      <c r="H705" s="278"/>
      <c r="I705" s="27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278"/>
      <c r="AC705" s="8"/>
      <c r="AD705" s="8"/>
      <c r="AE705" s="8"/>
    </row>
    <row r="706" ht="13.5" customHeight="1">
      <c r="A706" s="8"/>
      <c r="B706" s="278"/>
      <c r="C706" s="8"/>
      <c r="D706" s="278"/>
      <c r="E706" s="278"/>
      <c r="F706" s="278"/>
      <c r="G706" s="278"/>
      <c r="H706" s="278"/>
      <c r="I706" s="27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278"/>
      <c r="AC706" s="8"/>
      <c r="AD706" s="8"/>
      <c r="AE706" s="8"/>
    </row>
    <row r="707" ht="13.5" customHeight="1">
      <c r="A707" s="8"/>
      <c r="B707" s="278"/>
      <c r="C707" s="8"/>
      <c r="D707" s="278"/>
      <c r="E707" s="278"/>
      <c r="F707" s="278"/>
      <c r="G707" s="278"/>
      <c r="H707" s="278"/>
      <c r="I707" s="27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278"/>
      <c r="AC707" s="8"/>
      <c r="AD707" s="8"/>
      <c r="AE707" s="8"/>
    </row>
    <row r="708" ht="13.5" customHeight="1">
      <c r="A708" s="8"/>
      <c r="B708" s="278"/>
      <c r="C708" s="8"/>
      <c r="D708" s="278"/>
      <c r="E708" s="278"/>
      <c r="F708" s="278"/>
      <c r="G708" s="278"/>
      <c r="H708" s="278"/>
      <c r="I708" s="27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278"/>
      <c r="AC708" s="8"/>
      <c r="AD708" s="8"/>
      <c r="AE708" s="8"/>
    </row>
    <row r="709" ht="13.5" customHeight="1">
      <c r="A709" s="8"/>
      <c r="B709" s="278"/>
      <c r="C709" s="8"/>
      <c r="D709" s="278"/>
      <c r="E709" s="278"/>
      <c r="F709" s="278"/>
      <c r="G709" s="278"/>
      <c r="H709" s="278"/>
      <c r="I709" s="27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278"/>
      <c r="AC709" s="8"/>
      <c r="AD709" s="8"/>
      <c r="AE709" s="8"/>
    </row>
    <row r="710" ht="13.5" customHeight="1">
      <c r="A710" s="8"/>
      <c r="B710" s="278"/>
      <c r="C710" s="8"/>
      <c r="D710" s="278"/>
      <c r="E710" s="278"/>
      <c r="F710" s="278"/>
      <c r="G710" s="278"/>
      <c r="H710" s="278"/>
      <c r="I710" s="27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278"/>
      <c r="AC710" s="8"/>
      <c r="AD710" s="8"/>
      <c r="AE710" s="8"/>
    </row>
    <row r="711" ht="13.5" customHeight="1">
      <c r="A711" s="8"/>
      <c r="B711" s="278"/>
      <c r="C711" s="8"/>
      <c r="D711" s="278"/>
      <c r="E711" s="278"/>
      <c r="F711" s="278"/>
      <c r="G711" s="278"/>
      <c r="H711" s="278"/>
      <c r="I711" s="27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278"/>
      <c r="AC711" s="8"/>
      <c r="AD711" s="8"/>
      <c r="AE711" s="8"/>
    </row>
    <row r="712" ht="13.5" customHeight="1">
      <c r="A712" s="8"/>
      <c r="B712" s="278"/>
      <c r="C712" s="8"/>
      <c r="D712" s="278"/>
      <c r="E712" s="278"/>
      <c r="F712" s="278"/>
      <c r="G712" s="278"/>
      <c r="H712" s="278"/>
      <c r="I712" s="27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278"/>
      <c r="AC712" s="8"/>
      <c r="AD712" s="8"/>
      <c r="AE712" s="8"/>
    </row>
    <row r="713" ht="13.5" customHeight="1">
      <c r="A713" s="8"/>
      <c r="B713" s="278"/>
      <c r="C713" s="8"/>
      <c r="D713" s="278"/>
      <c r="E713" s="278"/>
      <c r="F713" s="278"/>
      <c r="G713" s="278"/>
      <c r="H713" s="278"/>
      <c r="I713" s="27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278"/>
      <c r="AC713" s="8"/>
      <c r="AD713" s="8"/>
      <c r="AE713" s="8"/>
    </row>
    <row r="714" ht="13.5" customHeight="1">
      <c r="A714" s="8"/>
      <c r="B714" s="278"/>
      <c r="C714" s="8"/>
      <c r="D714" s="278"/>
      <c r="E714" s="278"/>
      <c r="F714" s="278"/>
      <c r="G714" s="278"/>
      <c r="H714" s="278"/>
      <c r="I714" s="27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278"/>
      <c r="AC714" s="8"/>
      <c r="AD714" s="8"/>
      <c r="AE714" s="8"/>
    </row>
    <row r="715" ht="13.5" customHeight="1">
      <c r="A715" s="8"/>
      <c r="B715" s="278"/>
      <c r="C715" s="8"/>
      <c r="D715" s="278"/>
      <c r="E715" s="278"/>
      <c r="F715" s="278"/>
      <c r="G715" s="278"/>
      <c r="H715" s="278"/>
      <c r="I715" s="27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278"/>
      <c r="AC715" s="8"/>
      <c r="AD715" s="8"/>
      <c r="AE715" s="8"/>
    </row>
    <row r="716" ht="13.5" customHeight="1">
      <c r="A716" s="8"/>
      <c r="B716" s="278"/>
      <c r="C716" s="8"/>
      <c r="D716" s="278"/>
      <c r="E716" s="278"/>
      <c r="F716" s="278"/>
      <c r="G716" s="278"/>
      <c r="H716" s="278"/>
      <c r="I716" s="27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278"/>
      <c r="AC716" s="8"/>
      <c r="AD716" s="8"/>
      <c r="AE716" s="8"/>
    </row>
    <row r="717" ht="13.5" customHeight="1">
      <c r="A717" s="8"/>
      <c r="B717" s="278"/>
      <c r="C717" s="8"/>
      <c r="D717" s="278"/>
      <c r="E717" s="278"/>
      <c r="F717" s="278"/>
      <c r="G717" s="278"/>
      <c r="H717" s="278"/>
      <c r="I717" s="27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278"/>
      <c r="AC717" s="8"/>
      <c r="AD717" s="8"/>
      <c r="AE717" s="8"/>
    </row>
    <row r="718" ht="13.5" customHeight="1">
      <c r="A718" s="8"/>
      <c r="B718" s="278"/>
      <c r="C718" s="8"/>
      <c r="D718" s="278"/>
      <c r="E718" s="278"/>
      <c r="F718" s="278"/>
      <c r="G718" s="278"/>
      <c r="H718" s="278"/>
      <c r="I718" s="27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278"/>
      <c r="AC718" s="8"/>
      <c r="AD718" s="8"/>
      <c r="AE718" s="8"/>
    </row>
    <row r="719" ht="13.5" customHeight="1">
      <c r="A719" s="8"/>
      <c r="B719" s="278"/>
      <c r="C719" s="8"/>
      <c r="D719" s="278"/>
      <c r="E719" s="278"/>
      <c r="F719" s="278"/>
      <c r="G719" s="278"/>
      <c r="H719" s="278"/>
      <c r="I719" s="27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278"/>
      <c r="AC719" s="8"/>
      <c r="AD719" s="8"/>
      <c r="AE719" s="8"/>
    </row>
    <row r="720" ht="13.5" customHeight="1">
      <c r="A720" s="8"/>
      <c r="B720" s="278"/>
      <c r="C720" s="8"/>
      <c r="D720" s="278"/>
      <c r="E720" s="278"/>
      <c r="F720" s="278"/>
      <c r="G720" s="278"/>
      <c r="H720" s="278"/>
      <c r="I720" s="27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278"/>
      <c r="AC720" s="8"/>
      <c r="AD720" s="8"/>
      <c r="AE720" s="8"/>
    </row>
    <row r="721" ht="13.5" customHeight="1">
      <c r="A721" s="8"/>
      <c r="B721" s="278"/>
      <c r="C721" s="8"/>
      <c r="D721" s="278"/>
      <c r="E721" s="278"/>
      <c r="F721" s="278"/>
      <c r="G721" s="278"/>
      <c r="H721" s="278"/>
      <c r="I721" s="27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278"/>
      <c r="AC721" s="8"/>
      <c r="AD721" s="8"/>
      <c r="AE721" s="8"/>
    </row>
    <row r="722" ht="13.5" customHeight="1">
      <c r="A722" s="8"/>
      <c r="B722" s="278"/>
      <c r="C722" s="8"/>
      <c r="D722" s="278"/>
      <c r="E722" s="278"/>
      <c r="F722" s="278"/>
      <c r="G722" s="278"/>
      <c r="H722" s="278"/>
      <c r="I722" s="27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278"/>
      <c r="AC722" s="8"/>
      <c r="AD722" s="8"/>
      <c r="AE722" s="8"/>
    </row>
    <row r="723" ht="13.5" customHeight="1">
      <c r="A723" s="8"/>
      <c r="B723" s="278"/>
      <c r="C723" s="8"/>
      <c r="D723" s="278"/>
      <c r="E723" s="278"/>
      <c r="F723" s="278"/>
      <c r="G723" s="278"/>
      <c r="H723" s="278"/>
      <c r="I723" s="27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278"/>
      <c r="AC723" s="8"/>
      <c r="AD723" s="8"/>
      <c r="AE723" s="8"/>
    </row>
    <row r="724" ht="13.5" customHeight="1">
      <c r="A724" s="8"/>
      <c r="B724" s="278"/>
      <c r="C724" s="8"/>
      <c r="D724" s="278"/>
      <c r="E724" s="278"/>
      <c r="F724" s="278"/>
      <c r="G724" s="278"/>
      <c r="H724" s="278"/>
      <c r="I724" s="27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278"/>
      <c r="AC724" s="8"/>
      <c r="AD724" s="8"/>
      <c r="AE724" s="8"/>
    </row>
    <row r="725" ht="13.5" customHeight="1">
      <c r="A725" s="8"/>
      <c r="B725" s="278"/>
      <c r="C725" s="8"/>
      <c r="D725" s="278"/>
      <c r="E725" s="278"/>
      <c r="F725" s="278"/>
      <c r="G725" s="278"/>
      <c r="H725" s="278"/>
      <c r="I725" s="27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278"/>
      <c r="AC725" s="8"/>
      <c r="AD725" s="8"/>
      <c r="AE725" s="8"/>
    </row>
    <row r="726" ht="13.5" customHeight="1">
      <c r="A726" s="8"/>
      <c r="B726" s="278"/>
      <c r="C726" s="8"/>
      <c r="D726" s="278"/>
      <c r="E726" s="278"/>
      <c r="F726" s="278"/>
      <c r="G726" s="278"/>
      <c r="H726" s="278"/>
      <c r="I726" s="27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278"/>
      <c r="AC726" s="8"/>
      <c r="AD726" s="8"/>
      <c r="AE726" s="8"/>
    </row>
    <row r="727" ht="13.5" customHeight="1">
      <c r="A727" s="8"/>
      <c r="B727" s="278"/>
      <c r="C727" s="8"/>
      <c r="D727" s="278"/>
      <c r="E727" s="278"/>
      <c r="F727" s="278"/>
      <c r="G727" s="278"/>
      <c r="H727" s="278"/>
      <c r="I727" s="27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278"/>
      <c r="AC727" s="8"/>
      <c r="AD727" s="8"/>
      <c r="AE727" s="8"/>
    </row>
    <row r="728" ht="13.5" customHeight="1">
      <c r="A728" s="8"/>
      <c r="B728" s="278"/>
      <c r="C728" s="8"/>
      <c r="D728" s="278"/>
      <c r="E728" s="278"/>
      <c r="F728" s="278"/>
      <c r="G728" s="278"/>
      <c r="H728" s="278"/>
      <c r="I728" s="27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278"/>
      <c r="AC728" s="8"/>
      <c r="AD728" s="8"/>
      <c r="AE728" s="8"/>
    </row>
    <row r="729" ht="13.5" customHeight="1">
      <c r="A729" s="8"/>
      <c r="B729" s="278"/>
      <c r="C729" s="8"/>
      <c r="D729" s="278"/>
      <c r="E729" s="278"/>
      <c r="F729" s="278"/>
      <c r="G729" s="278"/>
      <c r="H729" s="278"/>
      <c r="I729" s="27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278"/>
      <c r="AC729" s="8"/>
      <c r="AD729" s="8"/>
      <c r="AE729" s="8"/>
    </row>
    <row r="730" ht="13.5" customHeight="1">
      <c r="A730" s="8"/>
      <c r="B730" s="278"/>
      <c r="C730" s="8"/>
      <c r="D730" s="278"/>
      <c r="E730" s="278"/>
      <c r="F730" s="278"/>
      <c r="G730" s="278"/>
      <c r="H730" s="278"/>
      <c r="I730" s="27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278"/>
      <c r="AC730" s="8"/>
      <c r="AD730" s="8"/>
      <c r="AE730" s="8"/>
    </row>
    <row r="731" ht="13.5" customHeight="1">
      <c r="A731" s="8"/>
      <c r="B731" s="278"/>
      <c r="C731" s="8"/>
      <c r="D731" s="278"/>
      <c r="E731" s="278"/>
      <c r="F731" s="278"/>
      <c r="G731" s="278"/>
      <c r="H731" s="278"/>
      <c r="I731" s="27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278"/>
      <c r="AC731" s="8"/>
      <c r="AD731" s="8"/>
      <c r="AE731" s="8"/>
    </row>
    <row r="732" ht="13.5" customHeight="1">
      <c r="A732" s="8"/>
      <c r="B732" s="278"/>
      <c r="C732" s="8"/>
      <c r="D732" s="278"/>
      <c r="E732" s="278"/>
      <c r="F732" s="278"/>
      <c r="G732" s="278"/>
      <c r="H732" s="278"/>
      <c r="I732" s="27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278"/>
      <c r="AC732" s="8"/>
      <c r="AD732" s="8"/>
      <c r="AE732" s="8"/>
    </row>
    <row r="733" ht="13.5" customHeight="1">
      <c r="A733" s="8"/>
      <c r="B733" s="278"/>
      <c r="C733" s="8"/>
      <c r="D733" s="278"/>
      <c r="E733" s="278"/>
      <c r="F733" s="278"/>
      <c r="G733" s="278"/>
      <c r="H733" s="278"/>
      <c r="I733" s="27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278"/>
      <c r="AC733" s="8"/>
      <c r="AD733" s="8"/>
      <c r="AE733" s="8"/>
    </row>
    <row r="734" ht="13.5" customHeight="1">
      <c r="A734" s="8"/>
      <c r="B734" s="278"/>
      <c r="C734" s="8"/>
      <c r="D734" s="278"/>
      <c r="E734" s="278"/>
      <c r="F734" s="278"/>
      <c r="G734" s="278"/>
      <c r="H734" s="278"/>
      <c r="I734" s="27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278"/>
      <c r="AC734" s="8"/>
      <c r="AD734" s="8"/>
      <c r="AE734" s="8"/>
    </row>
    <row r="735" ht="13.5" customHeight="1">
      <c r="A735" s="8"/>
      <c r="B735" s="278"/>
      <c r="C735" s="8"/>
      <c r="D735" s="278"/>
      <c r="E735" s="278"/>
      <c r="F735" s="278"/>
      <c r="G735" s="278"/>
      <c r="H735" s="278"/>
      <c r="I735" s="27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278"/>
      <c r="AC735" s="8"/>
      <c r="AD735" s="8"/>
      <c r="AE735" s="8"/>
    </row>
    <row r="736" ht="13.5" customHeight="1">
      <c r="A736" s="8"/>
      <c r="B736" s="278"/>
      <c r="C736" s="8"/>
      <c r="D736" s="278"/>
      <c r="E736" s="278"/>
      <c r="F736" s="278"/>
      <c r="G736" s="278"/>
      <c r="H736" s="278"/>
      <c r="I736" s="27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278"/>
      <c r="AC736" s="8"/>
      <c r="AD736" s="8"/>
      <c r="AE736" s="8"/>
    </row>
    <row r="737" ht="13.5" customHeight="1">
      <c r="A737" s="8"/>
      <c r="B737" s="278"/>
      <c r="C737" s="8"/>
      <c r="D737" s="278"/>
      <c r="E737" s="278"/>
      <c r="F737" s="278"/>
      <c r="G737" s="278"/>
      <c r="H737" s="278"/>
      <c r="I737" s="27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278"/>
      <c r="AC737" s="8"/>
      <c r="AD737" s="8"/>
      <c r="AE737" s="8"/>
    </row>
    <row r="738" ht="13.5" customHeight="1">
      <c r="A738" s="8"/>
      <c r="B738" s="278"/>
      <c r="C738" s="8"/>
      <c r="D738" s="278"/>
      <c r="E738" s="278"/>
      <c r="F738" s="278"/>
      <c r="G738" s="278"/>
      <c r="H738" s="278"/>
      <c r="I738" s="27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278"/>
      <c r="AC738" s="8"/>
      <c r="AD738" s="8"/>
      <c r="AE738" s="8"/>
    </row>
    <row r="739" ht="13.5" customHeight="1">
      <c r="A739" s="8"/>
      <c r="B739" s="278"/>
      <c r="C739" s="8"/>
      <c r="D739" s="278"/>
      <c r="E739" s="278"/>
      <c r="F739" s="278"/>
      <c r="G739" s="278"/>
      <c r="H739" s="278"/>
      <c r="I739" s="27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278"/>
      <c r="AC739" s="8"/>
      <c r="AD739" s="8"/>
      <c r="AE739" s="8"/>
    </row>
    <row r="740" ht="13.5" customHeight="1">
      <c r="A740" s="8"/>
      <c r="B740" s="278"/>
      <c r="C740" s="8"/>
      <c r="D740" s="278"/>
      <c r="E740" s="278"/>
      <c r="F740" s="278"/>
      <c r="G740" s="278"/>
      <c r="H740" s="278"/>
      <c r="I740" s="27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278"/>
      <c r="AC740" s="8"/>
      <c r="AD740" s="8"/>
      <c r="AE740" s="8"/>
    </row>
    <row r="741" ht="13.5" customHeight="1">
      <c r="A741" s="8"/>
      <c r="B741" s="278"/>
      <c r="C741" s="8"/>
      <c r="D741" s="278"/>
      <c r="E741" s="278"/>
      <c r="F741" s="278"/>
      <c r="G741" s="278"/>
      <c r="H741" s="278"/>
      <c r="I741" s="27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278"/>
      <c r="AC741" s="8"/>
      <c r="AD741" s="8"/>
      <c r="AE741" s="8"/>
    </row>
    <row r="742" ht="13.5" customHeight="1">
      <c r="A742" s="8"/>
      <c r="B742" s="278"/>
      <c r="C742" s="8"/>
      <c r="D742" s="278"/>
      <c r="E742" s="278"/>
      <c r="F742" s="278"/>
      <c r="G742" s="278"/>
      <c r="H742" s="278"/>
      <c r="I742" s="27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278"/>
      <c r="AC742" s="8"/>
      <c r="AD742" s="8"/>
      <c r="AE742" s="8"/>
    </row>
    <row r="743" ht="13.5" customHeight="1">
      <c r="A743" s="8"/>
      <c r="B743" s="278"/>
      <c r="C743" s="8"/>
      <c r="D743" s="278"/>
      <c r="E743" s="278"/>
      <c r="F743" s="278"/>
      <c r="G743" s="278"/>
      <c r="H743" s="278"/>
      <c r="I743" s="27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278"/>
      <c r="AC743" s="8"/>
      <c r="AD743" s="8"/>
      <c r="AE743" s="8"/>
    </row>
    <row r="744" ht="13.5" customHeight="1">
      <c r="A744" s="8"/>
      <c r="B744" s="278"/>
      <c r="C744" s="8"/>
      <c r="D744" s="278"/>
      <c r="E744" s="278"/>
      <c r="F744" s="278"/>
      <c r="G744" s="278"/>
      <c r="H744" s="278"/>
      <c r="I744" s="27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278"/>
      <c r="AC744" s="8"/>
      <c r="AD744" s="8"/>
      <c r="AE744" s="8"/>
    </row>
    <row r="745" ht="13.5" customHeight="1">
      <c r="A745" s="8"/>
      <c r="B745" s="278"/>
      <c r="C745" s="8"/>
      <c r="D745" s="278"/>
      <c r="E745" s="278"/>
      <c r="F745" s="278"/>
      <c r="G745" s="278"/>
      <c r="H745" s="278"/>
      <c r="I745" s="27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278"/>
      <c r="AC745" s="8"/>
      <c r="AD745" s="8"/>
      <c r="AE745" s="8"/>
    </row>
    <row r="746" ht="13.5" customHeight="1">
      <c r="A746" s="8"/>
      <c r="B746" s="278"/>
      <c r="C746" s="8"/>
      <c r="D746" s="278"/>
      <c r="E746" s="278"/>
      <c r="F746" s="278"/>
      <c r="G746" s="278"/>
      <c r="H746" s="278"/>
      <c r="I746" s="27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278"/>
      <c r="AC746" s="8"/>
      <c r="AD746" s="8"/>
      <c r="AE746" s="8"/>
    </row>
    <row r="747" ht="13.5" customHeight="1">
      <c r="A747" s="8"/>
      <c r="B747" s="278"/>
      <c r="C747" s="8"/>
      <c r="D747" s="278"/>
      <c r="E747" s="278"/>
      <c r="F747" s="278"/>
      <c r="G747" s="278"/>
      <c r="H747" s="278"/>
      <c r="I747" s="27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278"/>
      <c r="AC747" s="8"/>
      <c r="AD747" s="8"/>
      <c r="AE747" s="8"/>
    </row>
    <row r="748" ht="13.5" customHeight="1">
      <c r="A748" s="8"/>
      <c r="B748" s="278"/>
      <c r="C748" s="8"/>
      <c r="D748" s="278"/>
      <c r="E748" s="278"/>
      <c r="F748" s="278"/>
      <c r="G748" s="278"/>
      <c r="H748" s="278"/>
      <c r="I748" s="27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278"/>
      <c r="AC748" s="8"/>
      <c r="AD748" s="8"/>
      <c r="AE748" s="8"/>
    </row>
    <row r="749" ht="13.5" customHeight="1">
      <c r="A749" s="8"/>
      <c r="B749" s="278"/>
      <c r="C749" s="8"/>
      <c r="D749" s="278"/>
      <c r="E749" s="278"/>
      <c r="F749" s="278"/>
      <c r="G749" s="278"/>
      <c r="H749" s="278"/>
      <c r="I749" s="27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278"/>
      <c r="AC749" s="8"/>
      <c r="AD749" s="8"/>
      <c r="AE749" s="8"/>
    </row>
    <row r="750" ht="13.5" customHeight="1">
      <c r="A750" s="8"/>
      <c r="B750" s="278"/>
      <c r="C750" s="8"/>
      <c r="D750" s="278"/>
      <c r="E750" s="278"/>
      <c r="F750" s="278"/>
      <c r="G750" s="278"/>
      <c r="H750" s="278"/>
      <c r="I750" s="27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278"/>
      <c r="AC750" s="8"/>
      <c r="AD750" s="8"/>
      <c r="AE750" s="8"/>
    </row>
    <row r="751" ht="13.5" customHeight="1">
      <c r="A751" s="8"/>
      <c r="B751" s="278"/>
      <c r="C751" s="8"/>
      <c r="D751" s="278"/>
      <c r="E751" s="278"/>
      <c r="F751" s="278"/>
      <c r="G751" s="278"/>
      <c r="H751" s="278"/>
      <c r="I751" s="27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278"/>
      <c r="AC751" s="8"/>
      <c r="AD751" s="8"/>
      <c r="AE751" s="8"/>
    </row>
    <row r="752" ht="13.5" customHeight="1">
      <c r="A752" s="8"/>
      <c r="B752" s="278"/>
      <c r="C752" s="8"/>
      <c r="D752" s="278"/>
      <c r="E752" s="278"/>
      <c r="F752" s="278"/>
      <c r="G752" s="278"/>
      <c r="H752" s="278"/>
      <c r="I752" s="27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278"/>
      <c r="AC752" s="8"/>
      <c r="AD752" s="8"/>
      <c r="AE752" s="8"/>
    </row>
    <row r="753" ht="13.5" customHeight="1">
      <c r="A753" s="8"/>
      <c r="B753" s="278"/>
      <c r="C753" s="8"/>
      <c r="D753" s="278"/>
      <c r="E753" s="278"/>
      <c r="F753" s="278"/>
      <c r="G753" s="278"/>
      <c r="H753" s="278"/>
      <c r="I753" s="27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278"/>
      <c r="AC753" s="8"/>
      <c r="AD753" s="8"/>
      <c r="AE753" s="8"/>
    </row>
    <row r="754" ht="13.5" customHeight="1">
      <c r="A754" s="8"/>
      <c r="B754" s="278"/>
      <c r="C754" s="8"/>
      <c r="D754" s="278"/>
      <c r="E754" s="278"/>
      <c r="F754" s="278"/>
      <c r="G754" s="278"/>
      <c r="H754" s="278"/>
      <c r="I754" s="27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278"/>
      <c r="AC754" s="8"/>
      <c r="AD754" s="8"/>
      <c r="AE754" s="8"/>
    </row>
    <row r="755" ht="13.5" customHeight="1">
      <c r="A755" s="8"/>
      <c r="B755" s="278"/>
      <c r="C755" s="8"/>
      <c r="D755" s="278"/>
      <c r="E755" s="278"/>
      <c r="F755" s="278"/>
      <c r="G755" s="278"/>
      <c r="H755" s="278"/>
      <c r="I755" s="27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278"/>
      <c r="AC755" s="8"/>
      <c r="AD755" s="8"/>
      <c r="AE755" s="8"/>
    </row>
    <row r="756" ht="13.5" customHeight="1">
      <c r="A756" s="8"/>
      <c r="B756" s="278"/>
      <c r="C756" s="8"/>
      <c r="D756" s="278"/>
      <c r="E756" s="278"/>
      <c r="F756" s="278"/>
      <c r="G756" s="278"/>
      <c r="H756" s="278"/>
      <c r="I756" s="27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278"/>
      <c r="AC756" s="8"/>
      <c r="AD756" s="8"/>
      <c r="AE756" s="8"/>
    </row>
    <row r="757" ht="13.5" customHeight="1">
      <c r="A757" s="8"/>
      <c r="B757" s="278"/>
      <c r="C757" s="8"/>
      <c r="D757" s="278"/>
      <c r="E757" s="278"/>
      <c r="F757" s="278"/>
      <c r="G757" s="278"/>
      <c r="H757" s="278"/>
      <c r="I757" s="27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278"/>
      <c r="AC757" s="8"/>
      <c r="AD757" s="8"/>
      <c r="AE757" s="8"/>
    </row>
    <row r="758" ht="13.5" customHeight="1">
      <c r="A758" s="8"/>
      <c r="B758" s="278"/>
      <c r="C758" s="8"/>
      <c r="D758" s="278"/>
      <c r="E758" s="278"/>
      <c r="F758" s="278"/>
      <c r="G758" s="278"/>
      <c r="H758" s="278"/>
      <c r="I758" s="27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278"/>
      <c r="AC758" s="8"/>
      <c r="AD758" s="8"/>
      <c r="AE758" s="8"/>
    </row>
    <row r="759" ht="13.5" customHeight="1">
      <c r="A759" s="8"/>
      <c r="B759" s="278"/>
      <c r="C759" s="8"/>
      <c r="D759" s="278"/>
      <c r="E759" s="278"/>
      <c r="F759" s="278"/>
      <c r="G759" s="278"/>
      <c r="H759" s="278"/>
      <c r="I759" s="27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278"/>
      <c r="AC759" s="8"/>
      <c r="AD759" s="8"/>
      <c r="AE759" s="8"/>
    </row>
    <row r="760" ht="13.5" customHeight="1">
      <c r="A760" s="8"/>
      <c r="B760" s="278"/>
      <c r="C760" s="8"/>
      <c r="D760" s="278"/>
      <c r="E760" s="278"/>
      <c r="F760" s="278"/>
      <c r="G760" s="278"/>
      <c r="H760" s="278"/>
      <c r="I760" s="27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278"/>
      <c r="AC760" s="8"/>
      <c r="AD760" s="8"/>
      <c r="AE760" s="8"/>
    </row>
    <row r="761" ht="13.5" customHeight="1">
      <c r="A761" s="8"/>
      <c r="B761" s="278"/>
      <c r="C761" s="8"/>
      <c r="D761" s="278"/>
      <c r="E761" s="278"/>
      <c r="F761" s="278"/>
      <c r="G761" s="278"/>
      <c r="H761" s="278"/>
      <c r="I761" s="27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278"/>
      <c r="AC761" s="8"/>
      <c r="AD761" s="8"/>
      <c r="AE761" s="8"/>
    </row>
    <row r="762" ht="13.5" customHeight="1">
      <c r="A762" s="8"/>
      <c r="B762" s="278"/>
      <c r="C762" s="8"/>
      <c r="D762" s="278"/>
      <c r="E762" s="278"/>
      <c r="F762" s="278"/>
      <c r="G762" s="278"/>
      <c r="H762" s="278"/>
      <c r="I762" s="27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278"/>
      <c r="AC762" s="8"/>
      <c r="AD762" s="8"/>
      <c r="AE762" s="8"/>
    </row>
    <row r="763" ht="13.5" customHeight="1">
      <c r="A763" s="8"/>
      <c r="B763" s="278"/>
      <c r="C763" s="8"/>
      <c r="D763" s="278"/>
      <c r="E763" s="278"/>
      <c r="F763" s="278"/>
      <c r="G763" s="278"/>
      <c r="H763" s="278"/>
      <c r="I763" s="27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278"/>
      <c r="AC763" s="8"/>
      <c r="AD763" s="8"/>
      <c r="AE763" s="8"/>
    </row>
    <row r="764" ht="13.5" customHeight="1">
      <c r="A764" s="8"/>
      <c r="B764" s="278"/>
      <c r="C764" s="8"/>
      <c r="D764" s="278"/>
      <c r="E764" s="278"/>
      <c r="F764" s="278"/>
      <c r="G764" s="278"/>
      <c r="H764" s="278"/>
      <c r="I764" s="27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278"/>
      <c r="AC764" s="8"/>
      <c r="AD764" s="8"/>
      <c r="AE764" s="8"/>
    </row>
    <row r="765" ht="13.5" customHeight="1">
      <c r="A765" s="8"/>
      <c r="B765" s="278"/>
      <c r="C765" s="8"/>
      <c r="D765" s="278"/>
      <c r="E765" s="278"/>
      <c r="F765" s="278"/>
      <c r="G765" s="278"/>
      <c r="H765" s="278"/>
      <c r="I765" s="27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278"/>
      <c r="AC765" s="8"/>
      <c r="AD765" s="8"/>
      <c r="AE765" s="8"/>
    </row>
    <row r="766" ht="13.5" customHeight="1">
      <c r="A766" s="8"/>
      <c r="B766" s="278"/>
      <c r="C766" s="8"/>
      <c r="D766" s="278"/>
      <c r="E766" s="278"/>
      <c r="F766" s="278"/>
      <c r="G766" s="278"/>
      <c r="H766" s="278"/>
      <c r="I766" s="27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278"/>
      <c r="AC766" s="8"/>
      <c r="AD766" s="8"/>
      <c r="AE766" s="8"/>
    </row>
    <row r="767" ht="13.5" customHeight="1">
      <c r="A767" s="8"/>
      <c r="B767" s="278"/>
      <c r="C767" s="8"/>
      <c r="D767" s="278"/>
      <c r="E767" s="278"/>
      <c r="F767" s="278"/>
      <c r="G767" s="278"/>
      <c r="H767" s="278"/>
      <c r="I767" s="27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278"/>
      <c r="AC767" s="8"/>
      <c r="AD767" s="8"/>
      <c r="AE767" s="8"/>
    </row>
    <row r="768" ht="13.5" customHeight="1">
      <c r="A768" s="8"/>
      <c r="B768" s="278"/>
      <c r="C768" s="8"/>
      <c r="D768" s="278"/>
      <c r="E768" s="278"/>
      <c r="F768" s="278"/>
      <c r="G768" s="278"/>
      <c r="H768" s="278"/>
      <c r="I768" s="27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278"/>
      <c r="AC768" s="8"/>
      <c r="AD768" s="8"/>
      <c r="AE768" s="8"/>
    </row>
    <row r="769" ht="13.5" customHeight="1">
      <c r="A769" s="8"/>
      <c r="B769" s="278"/>
      <c r="C769" s="8"/>
      <c r="D769" s="278"/>
      <c r="E769" s="278"/>
      <c r="F769" s="278"/>
      <c r="G769" s="278"/>
      <c r="H769" s="278"/>
      <c r="I769" s="27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278"/>
      <c r="AC769" s="8"/>
      <c r="AD769" s="8"/>
      <c r="AE769" s="8"/>
    </row>
    <row r="770" ht="13.5" customHeight="1">
      <c r="A770" s="8"/>
      <c r="B770" s="278"/>
      <c r="C770" s="8"/>
      <c r="D770" s="278"/>
      <c r="E770" s="278"/>
      <c r="F770" s="278"/>
      <c r="G770" s="278"/>
      <c r="H770" s="278"/>
      <c r="I770" s="27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278"/>
      <c r="AC770" s="8"/>
      <c r="AD770" s="8"/>
      <c r="AE770" s="8"/>
    </row>
    <row r="771" ht="13.5" customHeight="1">
      <c r="A771" s="8"/>
      <c r="B771" s="278"/>
      <c r="C771" s="8"/>
      <c r="D771" s="278"/>
      <c r="E771" s="278"/>
      <c r="F771" s="278"/>
      <c r="G771" s="278"/>
      <c r="H771" s="278"/>
      <c r="I771" s="27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278"/>
      <c r="AC771" s="8"/>
      <c r="AD771" s="8"/>
      <c r="AE771" s="8"/>
    </row>
    <row r="772" ht="13.5" customHeight="1">
      <c r="A772" s="8"/>
      <c r="B772" s="278"/>
      <c r="C772" s="8"/>
      <c r="D772" s="278"/>
      <c r="E772" s="278"/>
      <c r="F772" s="278"/>
      <c r="G772" s="278"/>
      <c r="H772" s="278"/>
      <c r="I772" s="27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278"/>
      <c r="AC772" s="8"/>
      <c r="AD772" s="8"/>
      <c r="AE772" s="8"/>
    </row>
    <row r="773" ht="13.5" customHeight="1">
      <c r="A773" s="8"/>
      <c r="B773" s="278"/>
      <c r="C773" s="8"/>
      <c r="D773" s="278"/>
      <c r="E773" s="278"/>
      <c r="F773" s="278"/>
      <c r="G773" s="278"/>
      <c r="H773" s="278"/>
      <c r="I773" s="27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278"/>
      <c r="AC773" s="8"/>
      <c r="AD773" s="8"/>
      <c r="AE773" s="8"/>
    </row>
    <row r="774" ht="13.5" customHeight="1">
      <c r="A774" s="8"/>
      <c r="B774" s="278"/>
      <c r="C774" s="8"/>
      <c r="D774" s="278"/>
      <c r="E774" s="278"/>
      <c r="F774" s="278"/>
      <c r="G774" s="278"/>
      <c r="H774" s="278"/>
      <c r="I774" s="27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278"/>
      <c r="AC774" s="8"/>
      <c r="AD774" s="8"/>
      <c r="AE774" s="8"/>
    </row>
    <row r="775" ht="13.5" customHeight="1">
      <c r="A775" s="8"/>
      <c r="B775" s="278"/>
      <c r="C775" s="8"/>
      <c r="D775" s="278"/>
      <c r="E775" s="278"/>
      <c r="F775" s="278"/>
      <c r="G775" s="278"/>
      <c r="H775" s="278"/>
      <c r="I775" s="27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278"/>
      <c r="AC775" s="8"/>
      <c r="AD775" s="8"/>
      <c r="AE775" s="8"/>
    </row>
    <row r="776" ht="13.5" customHeight="1">
      <c r="A776" s="8"/>
      <c r="B776" s="278"/>
      <c r="C776" s="8"/>
      <c r="D776" s="278"/>
      <c r="E776" s="278"/>
      <c r="F776" s="278"/>
      <c r="G776" s="278"/>
      <c r="H776" s="278"/>
      <c r="I776" s="27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278"/>
      <c r="AC776" s="8"/>
      <c r="AD776" s="8"/>
      <c r="AE776" s="8"/>
    </row>
    <row r="777" ht="13.5" customHeight="1">
      <c r="A777" s="8"/>
      <c r="B777" s="278"/>
      <c r="C777" s="8"/>
      <c r="D777" s="278"/>
      <c r="E777" s="278"/>
      <c r="F777" s="278"/>
      <c r="G777" s="278"/>
      <c r="H777" s="278"/>
      <c r="I777" s="27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278"/>
      <c r="AC777" s="8"/>
      <c r="AD777" s="8"/>
      <c r="AE777" s="8"/>
    </row>
    <row r="778" ht="13.5" customHeight="1">
      <c r="A778" s="8"/>
      <c r="B778" s="278"/>
      <c r="C778" s="8"/>
      <c r="D778" s="278"/>
      <c r="E778" s="278"/>
      <c r="F778" s="278"/>
      <c r="G778" s="278"/>
      <c r="H778" s="278"/>
      <c r="I778" s="27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278"/>
      <c r="AC778" s="8"/>
      <c r="AD778" s="8"/>
      <c r="AE778" s="8"/>
    </row>
    <row r="779" ht="13.5" customHeight="1">
      <c r="A779" s="8"/>
      <c r="B779" s="278"/>
      <c r="C779" s="8"/>
      <c r="D779" s="278"/>
      <c r="E779" s="278"/>
      <c r="F779" s="278"/>
      <c r="G779" s="278"/>
      <c r="H779" s="278"/>
      <c r="I779" s="27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278"/>
      <c r="AC779" s="8"/>
      <c r="AD779" s="8"/>
      <c r="AE779" s="8"/>
    </row>
    <row r="780" ht="13.5" customHeight="1">
      <c r="A780" s="8"/>
      <c r="B780" s="278"/>
      <c r="C780" s="8"/>
      <c r="D780" s="278"/>
      <c r="E780" s="278"/>
      <c r="F780" s="278"/>
      <c r="G780" s="278"/>
      <c r="H780" s="278"/>
      <c r="I780" s="27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278"/>
      <c r="AC780" s="8"/>
      <c r="AD780" s="8"/>
      <c r="AE780" s="8"/>
    </row>
    <row r="781" ht="13.5" customHeight="1">
      <c r="A781" s="8"/>
      <c r="B781" s="278"/>
      <c r="C781" s="8"/>
      <c r="D781" s="278"/>
      <c r="E781" s="278"/>
      <c r="F781" s="278"/>
      <c r="G781" s="278"/>
      <c r="H781" s="278"/>
      <c r="I781" s="27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278"/>
      <c r="AC781" s="8"/>
      <c r="AD781" s="8"/>
      <c r="AE781" s="8"/>
    </row>
    <row r="782" ht="13.5" customHeight="1">
      <c r="A782" s="8"/>
      <c r="B782" s="278"/>
      <c r="C782" s="8"/>
      <c r="D782" s="278"/>
      <c r="E782" s="278"/>
      <c r="F782" s="278"/>
      <c r="G782" s="278"/>
      <c r="H782" s="278"/>
      <c r="I782" s="27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278"/>
      <c r="AC782" s="8"/>
      <c r="AD782" s="8"/>
      <c r="AE782" s="8"/>
    </row>
    <row r="783" ht="13.5" customHeight="1">
      <c r="A783" s="8"/>
      <c r="B783" s="278"/>
      <c r="C783" s="8"/>
      <c r="D783" s="278"/>
      <c r="E783" s="278"/>
      <c r="F783" s="278"/>
      <c r="G783" s="278"/>
      <c r="H783" s="278"/>
      <c r="I783" s="27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278"/>
      <c r="AC783" s="8"/>
      <c r="AD783" s="8"/>
      <c r="AE783" s="8"/>
    </row>
    <row r="784" ht="13.5" customHeight="1">
      <c r="A784" s="8"/>
      <c r="B784" s="278"/>
      <c r="C784" s="8"/>
      <c r="D784" s="278"/>
      <c r="E784" s="278"/>
      <c r="F784" s="278"/>
      <c r="G784" s="278"/>
      <c r="H784" s="278"/>
      <c r="I784" s="27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278"/>
      <c r="AC784" s="8"/>
      <c r="AD784" s="8"/>
      <c r="AE784" s="8"/>
    </row>
    <row r="785" ht="13.5" customHeight="1">
      <c r="A785" s="8"/>
      <c r="B785" s="278"/>
      <c r="C785" s="8"/>
      <c r="D785" s="278"/>
      <c r="E785" s="278"/>
      <c r="F785" s="278"/>
      <c r="G785" s="278"/>
      <c r="H785" s="278"/>
      <c r="I785" s="27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278"/>
      <c r="AC785" s="8"/>
      <c r="AD785" s="8"/>
      <c r="AE785" s="8"/>
    </row>
    <row r="786" ht="13.5" customHeight="1">
      <c r="A786" s="8"/>
      <c r="B786" s="278"/>
      <c r="C786" s="8"/>
      <c r="D786" s="278"/>
      <c r="E786" s="278"/>
      <c r="F786" s="278"/>
      <c r="G786" s="278"/>
      <c r="H786" s="278"/>
      <c r="I786" s="27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278"/>
      <c r="AC786" s="8"/>
      <c r="AD786" s="8"/>
      <c r="AE786" s="8"/>
    </row>
    <row r="787" ht="13.5" customHeight="1">
      <c r="A787" s="8"/>
      <c r="B787" s="278"/>
      <c r="C787" s="8"/>
      <c r="D787" s="278"/>
      <c r="E787" s="278"/>
      <c r="F787" s="278"/>
      <c r="G787" s="278"/>
      <c r="H787" s="278"/>
      <c r="I787" s="27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278"/>
      <c r="AC787" s="8"/>
      <c r="AD787" s="8"/>
      <c r="AE787" s="8"/>
    </row>
    <row r="788" ht="13.5" customHeight="1">
      <c r="A788" s="8"/>
      <c r="B788" s="278"/>
      <c r="C788" s="8"/>
      <c r="D788" s="278"/>
      <c r="E788" s="278"/>
      <c r="F788" s="278"/>
      <c r="G788" s="278"/>
      <c r="H788" s="278"/>
      <c r="I788" s="27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278"/>
      <c r="AC788" s="8"/>
      <c r="AD788" s="8"/>
      <c r="AE788" s="8"/>
    </row>
    <row r="789" ht="13.5" customHeight="1">
      <c r="A789" s="8"/>
      <c r="B789" s="278"/>
      <c r="C789" s="8"/>
      <c r="D789" s="278"/>
      <c r="E789" s="278"/>
      <c r="F789" s="278"/>
      <c r="G789" s="278"/>
      <c r="H789" s="278"/>
      <c r="I789" s="27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278"/>
      <c r="AC789" s="8"/>
      <c r="AD789" s="8"/>
      <c r="AE789" s="8"/>
    </row>
    <row r="790" ht="13.5" customHeight="1">
      <c r="A790" s="8"/>
      <c r="B790" s="278"/>
      <c r="C790" s="8"/>
      <c r="D790" s="278"/>
      <c r="E790" s="278"/>
      <c r="F790" s="278"/>
      <c r="G790" s="278"/>
      <c r="H790" s="278"/>
      <c r="I790" s="27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278"/>
      <c r="AC790" s="8"/>
      <c r="AD790" s="8"/>
      <c r="AE790" s="8"/>
    </row>
    <row r="791" ht="13.5" customHeight="1">
      <c r="A791" s="8"/>
      <c r="B791" s="278"/>
      <c r="C791" s="8"/>
      <c r="D791" s="278"/>
      <c r="E791" s="278"/>
      <c r="F791" s="278"/>
      <c r="G791" s="278"/>
      <c r="H791" s="278"/>
      <c r="I791" s="27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278"/>
      <c r="AC791" s="8"/>
      <c r="AD791" s="8"/>
      <c r="AE791" s="8"/>
    </row>
    <row r="792" ht="13.5" customHeight="1">
      <c r="A792" s="8"/>
      <c r="B792" s="278"/>
      <c r="C792" s="8"/>
      <c r="D792" s="278"/>
      <c r="E792" s="278"/>
      <c r="F792" s="278"/>
      <c r="G792" s="278"/>
      <c r="H792" s="278"/>
      <c r="I792" s="27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278"/>
      <c r="AC792" s="8"/>
      <c r="AD792" s="8"/>
      <c r="AE792" s="8"/>
    </row>
    <row r="793" ht="13.5" customHeight="1">
      <c r="A793" s="8"/>
      <c r="B793" s="278"/>
      <c r="C793" s="8"/>
      <c r="D793" s="278"/>
      <c r="E793" s="278"/>
      <c r="F793" s="278"/>
      <c r="G793" s="278"/>
      <c r="H793" s="278"/>
      <c r="I793" s="27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278"/>
      <c r="AC793" s="8"/>
      <c r="AD793" s="8"/>
      <c r="AE793" s="8"/>
    </row>
    <row r="794" ht="13.5" customHeight="1">
      <c r="A794" s="8"/>
      <c r="B794" s="278"/>
      <c r="C794" s="8"/>
      <c r="D794" s="278"/>
      <c r="E794" s="278"/>
      <c r="F794" s="278"/>
      <c r="G794" s="278"/>
      <c r="H794" s="278"/>
      <c r="I794" s="27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278"/>
      <c r="AC794" s="8"/>
      <c r="AD794" s="8"/>
      <c r="AE794" s="8"/>
    </row>
    <row r="795" ht="13.5" customHeight="1">
      <c r="A795" s="8"/>
      <c r="B795" s="278"/>
      <c r="C795" s="8"/>
      <c r="D795" s="278"/>
      <c r="E795" s="278"/>
      <c r="F795" s="278"/>
      <c r="G795" s="278"/>
      <c r="H795" s="278"/>
      <c r="I795" s="27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278"/>
      <c r="AC795" s="8"/>
      <c r="AD795" s="8"/>
      <c r="AE795" s="8"/>
    </row>
    <row r="796" ht="13.5" customHeight="1">
      <c r="A796" s="8"/>
      <c r="B796" s="278"/>
      <c r="C796" s="8"/>
      <c r="D796" s="278"/>
      <c r="E796" s="278"/>
      <c r="F796" s="278"/>
      <c r="G796" s="278"/>
      <c r="H796" s="278"/>
      <c r="I796" s="27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278"/>
      <c r="AC796" s="8"/>
      <c r="AD796" s="8"/>
      <c r="AE796" s="8"/>
    </row>
    <row r="797" ht="13.5" customHeight="1">
      <c r="A797" s="8"/>
      <c r="B797" s="278"/>
      <c r="C797" s="8"/>
      <c r="D797" s="278"/>
      <c r="E797" s="278"/>
      <c r="F797" s="278"/>
      <c r="G797" s="278"/>
      <c r="H797" s="278"/>
      <c r="I797" s="27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278"/>
      <c r="AC797" s="8"/>
      <c r="AD797" s="8"/>
      <c r="AE797" s="8"/>
    </row>
    <row r="798" ht="13.5" customHeight="1">
      <c r="A798" s="8"/>
      <c r="B798" s="278"/>
      <c r="C798" s="8"/>
      <c r="D798" s="278"/>
      <c r="E798" s="278"/>
      <c r="F798" s="278"/>
      <c r="G798" s="278"/>
      <c r="H798" s="278"/>
      <c r="I798" s="27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278"/>
      <c r="AC798" s="8"/>
      <c r="AD798" s="8"/>
      <c r="AE798" s="8"/>
    </row>
    <row r="799" ht="13.5" customHeight="1">
      <c r="A799" s="8"/>
      <c r="B799" s="278"/>
      <c r="C799" s="8"/>
      <c r="D799" s="278"/>
      <c r="E799" s="278"/>
      <c r="F799" s="278"/>
      <c r="G799" s="278"/>
      <c r="H799" s="278"/>
      <c r="I799" s="27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278"/>
      <c r="AC799" s="8"/>
      <c r="AD799" s="8"/>
      <c r="AE799" s="8"/>
    </row>
    <row r="800" ht="13.5" customHeight="1">
      <c r="A800" s="8"/>
      <c r="B800" s="278"/>
      <c r="C800" s="8"/>
      <c r="D800" s="278"/>
      <c r="E800" s="278"/>
      <c r="F800" s="278"/>
      <c r="G800" s="278"/>
      <c r="H800" s="278"/>
      <c r="I800" s="27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278"/>
      <c r="AC800" s="8"/>
      <c r="AD800" s="8"/>
      <c r="AE800" s="8"/>
    </row>
    <row r="801" ht="13.5" customHeight="1">
      <c r="A801" s="8"/>
      <c r="B801" s="278"/>
      <c r="C801" s="8"/>
      <c r="D801" s="278"/>
      <c r="E801" s="278"/>
      <c r="F801" s="278"/>
      <c r="G801" s="278"/>
      <c r="H801" s="278"/>
      <c r="I801" s="27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278"/>
      <c r="AC801" s="8"/>
      <c r="AD801" s="8"/>
      <c r="AE801" s="8"/>
    </row>
    <row r="802" ht="13.5" customHeight="1">
      <c r="A802" s="8"/>
      <c r="B802" s="278"/>
      <c r="C802" s="8"/>
      <c r="D802" s="278"/>
      <c r="E802" s="278"/>
      <c r="F802" s="278"/>
      <c r="G802" s="278"/>
      <c r="H802" s="278"/>
      <c r="I802" s="27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278"/>
      <c r="AC802" s="8"/>
      <c r="AD802" s="8"/>
      <c r="AE802" s="8"/>
    </row>
    <row r="803" ht="13.5" customHeight="1">
      <c r="A803" s="8"/>
      <c r="B803" s="278"/>
      <c r="C803" s="8"/>
      <c r="D803" s="278"/>
      <c r="E803" s="278"/>
      <c r="F803" s="278"/>
      <c r="G803" s="278"/>
      <c r="H803" s="278"/>
      <c r="I803" s="27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278"/>
      <c r="AC803" s="8"/>
      <c r="AD803" s="8"/>
      <c r="AE803" s="8"/>
    </row>
    <row r="804" ht="13.5" customHeight="1">
      <c r="A804" s="8"/>
      <c r="B804" s="278"/>
      <c r="C804" s="8"/>
      <c r="D804" s="278"/>
      <c r="E804" s="278"/>
      <c r="F804" s="278"/>
      <c r="G804" s="278"/>
      <c r="H804" s="278"/>
      <c r="I804" s="27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278"/>
      <c r="AC804" s="8"/>
      <c r="AD804" s="8"/>
      <c r="AE804" s="8"/>
    </row>
    <row r="805" ht="13.5" customHeight="1">
      <c r="A805" s="8"/>
      <c r="B805" s="278"/>
      <c r="C805" s="8"/>
      <c r="D805" s="278"/>
      <c r="E805" s="278"/>
      <c r="F805" s="278"/>
      <c r="G805" s="278"/>
      <c r="H805" s="278"/>
      <c r="I805" s="27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278"/>
      <c r="AC805" s="8"/>
      <c r="AD805" s="8"/>
      <c r="AE805" s="8"/>
    </row>
    <row r="806" ht="13.5" customHeight="1">
      <c r="A806" s="8"/>
      <c r="B806" s="278"/>
      <c r="C806" s="8"/>
      <c r="D806" s="278"/>
      <c r="E806" s="278"/>
      <c r="F806" s="278"/>
      <c r="G806" s="278"/>
      <c r="H806" s="278"/>
      <c r="I806" s="27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278"/>
      <c r="AC806" s="8"/>
      <c r="AD806" s="8"/>
      <c r="AE806" s="8"/>
    </row>
    <row r="807" ht="13.5" customHeight="1">
      <c r="A807" s="8"/>
      <c r="B807" s="278"/>
      <c r="C807" s="8"/>
      <c r="D807" s="278"/>
      <c r="E807" s="278"/>
      <c r="F807" s="278"/>
      <c r="G807" s="278"/>
      <c r="H807" s="278"/>
      <c r="I807" s="27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278"/>
      <c r="AC807" s="8"/>
      <c r="AD807" s="8"/>
      <c r="AE807" s="8"/>
    </row>
    <row r="808" ht="13.5" customHeight="1">
      <c r="A808" s="8"/>
      <c r="B808" s="278"/>
      <c r="C808" s="8"/>
      <c r="D808" s="278"/>
      <c r="E808" s="278"/>
      <c r="F808" s="278"/>
      <c r="G808" s="278"/>
      <c r="H808" s="278"/>
      <c r="I808" s="27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278"/>
      <c r="AC808" s="8"/>
      <c r="AD808" s="8"/>
      <c r="AE808" s="8"/>
    </row>
    <row r="809" ht="13.5" customHeight="1">
      <c r="A809" s="8"/>
      <c r="B809" s="278"/>
      <c r="C809" s="8"/>
      <c r="D809" s="278"/>
      <c r="E809" s="278"/>
      <c r="F809" s="278"/>
      <c r="G809" s="278"/>
      <c r="H809" s="278"/>
      <c r="I809" s="27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278"/>
      <c r="AC809" s="8"/>
      <c r="AD809" s="8"/>
      <c r="AE809" s="8"/>
    </row>
    <row r="810" ht="13.5" customHeight="1">
      <c r="A810" s="8"/>
      <c r="B810" s="278"/>
      <c r="C810" s="8"/>
      <c r="D810" s="278"/>
      <c r="E810" s="278"/>
      <c r="F810" s="278"/>
      <c r="G810" s="278"/>
      <c r="H810" s="278"/>
      <c r="I810" s="27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278"/>
      <c r="AC810" s="8"/>
      <c r="AD810" s="8"/>
      <c r="AE810" s="8"/>
    </row>
    <row r="811" ht="13.5" customHeight="1">
      <c r="A811" s="8"/>
      <c r="B811" s="278"/>
      <c r="C811" s="8"/>
      <c r="D811" s="278"/>
      <c r="E811" s="278"/>
      <c r="F811" s="278"/>
      <c r="G811" s="278"/>
      <c r="H811" s="278"/>
      <c r="I811" s="27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278"/>
      <c r="AC811" s="8"/>
      <c r="AD811" s="8"/>
      <c r="AE811" s="8"/>
    </row>
    <row r="812" ht="13.5" customHeight="1">
      <c r="A812" s="8"/>
      <c r="B812" s="278"/>
      <c r="C812" s="8"/>
      <c r="D812" s="278"/>
      <c r="E812" s="278"/>
      <c r="F812" s="278"/>
      <c r="G812" s="278"/>
      <c r="H812" s="278"/>
      <c r="I812" s="27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278"/>
      <c r="AC812" s="8"/>
      <c r="AD812" s="8"/>
      <c r="AE812" s="8"/>
    </row>
    <row r="813" ht="13.5" customHeight="1">
      <c r="A813" s="8"/>
      <c r="B813" s="278"/>
      <c r="C813" s="8"/>
      <c r="D813" s="278"/>
      <c r="E813" s="278"/>
      <c r="F813" s="278"/>
      <c r="G813" s="278"/>
      <c r="H813" s="278"/>
      <c r="I813" s="27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278"/>
      <c r="AC813" s="8"/>
      <c r="AD813" s="8"/>
      <c r="AE813" s="8"/>
    </row>
    <row r="814" ht="13.5" customHeight="1">
      <c r="A814" s="8"/>
      <c r="B814" s="278"/>
      <c r="C814" s="8"/>
      <c r="D814" s="278"/>
      <c r="E814" s="278"/>
      <c r="F814" s="278"/>
      <c r="G814" s="278"/>
      <c r="H814" s="278"/>
      <c r="I814" s="27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278"/>
      <c r="AC814" s="8"/>
      <c r="AD814" s="8"/>
      <c r="AE814" s="8"/>
    </row>
    <row r="815" ht="13.5" customHeight="1">
      <c r="A815" s="8"/>
      <c r="B815" s="278"/>
      <c r="C815" s="8"/>
      <c r="D815" s="278"/>
      <c r="E815" s="278"/>
      <c r="F815" s="278"/>
      <c r="G815" s="278"/>
      <c r="H815" s="278"/>
      <c r="I815" s="27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278"/>
      <c r="AC815" s="8"/>
      <c r="AD815" s="8"/>
      <c r="AE815" s="8"/>
    </row>
    <row r="816" ht="13.5" customHeight="1">
      <c r="A816" s="8"/>
      <c r="B816" s="278"/>
      <c r="C816" s="8"/>
      <c r="D816" s="278"/>
      <c r="E816" s="278"/>
      <c r="F816" s="278"/>
      <c r="G816" s="278"/>
      <c r="H816" s="278"/>
      <c r="I816" s="27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278"/>
      <c r="AC816" s="8"/>
      <c r="AD816" s="8"/>
      <c r="AE816" s="8"/>
    </row>
    <row r="817" ht="13.5" customHeight="1">
      <c r="A817" s="8"/>
      <c r="B817" s="278"/>
      <c r="C817" s="8"/>
      <c r="D817" s="278"/>
      <c r="E817" s="278"/>
      <c r="F817" s="278"/>
      <c r="G817" s="278"/>
      <c r="H817" s="278"/>
      <c r="I817" s="27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278"/>
      <c r="AC817" s="8"/>
      <c r="AD817" s="8"/>
      <c r="AE817" s="8"/>
    </row>
    <row r="818" ht="13.5" customHeight="1">
      <c r="A818" s="8"/>
      <c r="B818" s="278"/>
      <c r="C818" s="8"/>
      <c r="D818" s="278"/>
      <c r="E818" s="278"/>
      <c r="F818" s="278"/>
      <c r="G818" s="278"/>
      <c r="H818" s="278"/>
      <c r="I818" s="27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278"/>
      <c r="AC818" s="8"/>
      <c r="AD818" s="8"/>
      <c r="AE818" s="8"/>
    </row>
    <row r="819" ht="13.5" customHeight="1">
      <c r="A819" s="8"/>
      <c r="B819" s="278"/>
      <c r="C819" s="8"/>
      <c r="D819" s="278"/>
      <c r="E819" s="278"/>
      <c r="F819" s="278"/>
      <c r="G819" s="278"/>
      <c r="H819" s="278"/>
      <c r="I819" s="27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278"/>
      <c r="AC819" s="8"/>
      <c r="AD819" s="8"/>
      <c r="AE819" s="8"/>
    </row>
    <row r="820" ht="13.5" customHeight="1">
      <c r="A820" s="8"/>
      <c r="B820" s="278"/>
      <c r="C820" s="8"/>
      <c r="D820" s="278"/>
      <c r="E820" s="278"/>
      <c r="F820" s="278"/>
      <c r="G820" s="278"/>
      <c r="H820" s="278"/>
      <c r="I820" s="27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278"/>
      <c r="AC820" s="8"/>
      <c r="AD820" s="8"/>
      <c r="AE820" s="8"/>
    </row>
    <row r="821" ht="13.5" customHeight="1">
      <c r="A821" s="8"/>
      <c r="B821" s="278"/>
      <c r="C821" s="8"/>
      <c r="D821" s="278"/>
      <c r="E821" s="278"/>
      <c r="F821" s="278"/>
      <c r="G821" s="278"/>
      <c r="H821" s="278"/>
      <c r="I821" s="27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278"/>
      <c r="AC821" s="8"/>
      <c r="AD821" s="8"/>
      <c r="AE821" s="8"/>
    </row>
    <row r="822" ht="13.5" customHeight="1">
      <c r="A822" s="8"/>
      <c r="B822" s="278"/>
      <c r="C822" s="8"/>
      <c r="D822" s="278"/>
      <c r="E822" s="278"/>
      <c r="F822" s="278"/>
      <c r="G822" s="278"/>
      <c r="H822" s="278"/>
      <c r="I822" s="27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278"/>
      <c r="AC822" s="8"/>
      <c r="AD822" s="8"/>
      <c r="AE822" s="8"/>
    </row>
    <row r="823" ht="13.5" customHeight="1">
      <c r="A823" s="8"/>
      <c r="B823" s="278"/>
      <c r="C823" s="8"/>
      <c r="D823" s="278"/>
      <c r="E823" s="278"/>
      <c r="F823" s="278"/>
      <c r="G823" s="278"/>
      <c r="H823" s="278"/>
      <c r="I823" s="27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278"/>
      <c r="AC823" s="8"/>
      <c r="AD823" s="8"/>
      <c r="AE823" s="8"/>
    </row>
    <row r="824" ht="13.5" customHeight="1">
      <c r="A824" s="8"/>
      <c r="B824" s="278"/>
      <c r="C824" s="8"/>
      <c r="D824" s="278"/>
      <c r="E824" s="278"/>
      <c r="F824" s="278"/>
      <c r="G824" s="278"/>
      <c r="H824" s="278"/>
      <c r="I824" s="27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278"/>
      <c r="AC824" s="8"/>
      <c r="AD824" s="8"/>
      <c r="AE824" s="8"/>
    </row>
    <row r="825" ht="13.5" customHeight="1">
      <c r="A825" s="8"/>
      <c r="B825" s="278"/>
      <c r="C825" s="8"/>
      <c r="D825" s="278"/>
      <c r="E825" s="278"/>
      <c r="F825" s="278"/>
      <c r="G825" s="278"/>
      <c r="H825" s="278"/>
      <c r="I825" s="27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278"/>
      <c r="AC825" s="8"/>
      <c r="AD825" s="8"/>
      <c r="AE825" s="8"/>
    </row>
    <row r="826" ht="13.5" customHeight="1">
      <c r="A826" s="8"/>
      <c r="B826" s="278"/>
      <c r="C826" s="8"/>
      <c r="D826" s="278"/>
      <c r="E826" s="278"/>
      <c r="F826" s="278"/>
      <c r="G826" s="278"/>
      <c r="H826" s="278"/>
      <c r="I826" s="27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278"/>
      <c r="AC826" s="8"/>
      <c r="AD826" s="8"/>
      <c r="AE826" s="8"/>
    </row>
    <row r="827" ht="13.5" customHeight="1">
      <c r="A827" s="8"/>
      <c r="B827" s="278"/>
      <c r="C827" s="8"/>
      <c r="D827" s="278"/>
      <c r="E827" s="278"/>
      <c r="F827" s="278"/>
      <c r="G827" s="278"/>
      <c r="H827" s="278"/>
      <c r="I827" s="27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278"/>
      <c r="AC827" s="8"/>
      <c r="AD827" s="8"/>
      <c r="AE827" s="8"/>
    </row>
    <row r="828" ht="13.5" customHeight="1">
      <c r="A828" s="8"/>
      <c r="B828" s="278"/>
      <c r="C828" s="8"/>
      <c r="D828" s="278"/>
      <c r="E828" s="278"/>
      <c r="F828" s="278"/>
      <c r="G828" s="278"/>
      <c r="H828" s="278"/>
      <c r="I828" s="27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278"/>
      <c r="AC828" s="8"/>
      <c r="AD828" s="8"/>
      <c r="AE828" s="8"/>
    </row>
    <row r="829" ht="13.5" customHeight="1">
      <c r="A829" s="8"/>
      <c r="B829" s="278"/>
      <c r="C829" s="8"/>
      <c r="D829" s="278"/>
      <c r="E829" s="278"/>
      <c r="F829" s="278"/>
      <c r="G829" s="278"/>
      <c r="H829" s="278"/>
      <c r="I829" s="27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278"/>
      <c r="AC829" s="8"/>
      <c r="AD829" s="8"/>
      <c r="AE829" s="8"/>
    </row>
    <row r="830" ht="13.5" customHeight="1">
      <c r="A830" s="8"/>
      <c r="B830" s="278"/>
      <c r="C830" s="8"/>
      <c r="D830" s="278"/>
      <c r="E830" s="278"/>
      <c r="F830" s="278"/>
      <c r="G830" s="278"/>
      <c r="H830" s="278"/>
      <c r="I830" s="27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278"/>
      <c r="AC830" s="8"/>
      <c r="AD830" s="8"/>
      <c r="AE830" s="8"/>
    </row>
    <row r="831" ht="13.5" customHeight="1">
      <c r="A831" s="8"/>
      <c r="B831" s="278"/>
      <c r="C831" s="8"/>
      <c r="D831" s="278"/>
      <c r="E831" s="278"/>
      <c r="F831" s="278"/>
      <c r="G831" s="278"/>
      <c r="H831" s="278"/>
      <c r="I831" s="27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278"/>
      <c r="AC831" s="8"/>
      <c r="AD831" s="8"/>
      <c r="AE831" s="8"/>
    </row>
    <row r="832" ht="13.5" customHeight="1">
      <c r="A832" s="8"/>
      <c r="B832" s="278"/>
      <c r="C832" s="8"/>
      <c r="D832" s="278"/>
      <c r="E832" s="278"/>
      <c r="F832" s="278"/>
      <c r="G832" s="278"/>
      <c r="H832" s="278"/>
      <c r="I832" s="27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278"/>
      <c r="AC832" s="8"/>
      <c r="AD832" s="8"/>
      <c r="AE832" s="8"/>
    </row>
    <row r="833" ht="13.5" customHeight="1">
      <c r="A833" s="8"/>
      <c r="B833" s="278"/>
      <c r="C833" s="8"/>
      <c r="D833" s="278"/>
      <c r="E833" s="278"/>
      <c r="F833" s="278"/>
      <c r="G833" s="278"/>
      <c r="H833" s="278"/>
      <c r="I833" s="27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278"/>
      <c r="AC833" s="8"/>
      <c r="AD833" s="8"/>
      <c r="AE833" s="8"/>
    </row>
    <row r="834" ht="13.5" customHeight="1">
      <c r="A834" s="8"/>
      <c r="B834" s="278"/>
      <c r="C834" s="8"/>
      <c r="D834" s="278"/>
      <c r="E834" s="278"/>
      <c r="F834" s="278"/>
      <c r="G834" s="278"/>
      <c r="H834" s="278"/>
      <c r="I834" s="27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278"/>
      <c r="AC834" s="8"/>
      <c r="AD834" s="8"/>
      <c r="AE834" s="8"/>
    </row>
    <row r="835" ht="13.5" customHeight="1">
      <c r="A835" s="8"/>
      <c r="B835" s="278"/>
      <c r="C835" s="8"/>
      <c r="D835" s="278"/>
      <c r="E835" s="278"/>
      <c r="F835" s="278"/>
      <c r="G835" s="278"/>
      <c r="H835" s="278"/>
      <c r="I835" s="27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278"/>
      <c r="AC835" s="8"/>
      <c r="AD835" s="8"/>
      <c r="AE835" s="8"/>
    </row>
    <row r="836" ht="13.5" customHeight="1">
      <c r="A836" s="8"/>
      <c r="B836" s="278"/>
      <c r="C836" s="8"/>
      <c r="D836" s="278"/>
      <c r="E836" s="278"/>
      <c r="F836" s="278"/>
      <c r="G836" s="278"/>
      <c r="H836" s="278"/>
      <c r="I836" s="27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278"/>
      <c r="AC836" s="8"/>
      <c r="AD836" s="8"/>
      <c r="AE836" s="8"/>
    </row>
    <row r="837" ht="13.5" customHeight="1">
      <c r="A837" s="8"/>
      <c r="B837" s="278"/>
      <c r="C837" s="8"/>
      <c r="D837" s="278"/>
      <c r="E837" s="278"/>
      <c r="F837" s="278"/>
      <c r="G837" s="278"/>
      <c r="H837" s="278"/>
      <c r="I837" s="27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278"/>
      <c r="AC837" s="8"/>
      <c r="AD837" s="8"/>
      <c r="AE837" s="8"/>
    </row>
    <row r="838" ht="13.5" customHeight="1">
      <c r="A838" s="8"/>
      <c r="B838" s="278"/>
      <c r="C838" s="8"/>
      <c r="D838" s="278"/>
      <c r="E838" s="278"/>
      <c r="F838" s="278"/>
      <c r="G838" s="278"/>
      <c r="H838" s="278"/>
      <c r="I838" s="27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278"/>
      <c r="AC838" s="8"/>
      <c r="AD838" s="8"/>
      <c r="AE838" s="8"/>
    </row>
    <row r="839" ht="13.5" customHeight="1">
      <c r="A839" s="8"/>
      <c r="B839" s="278"/>
      <c r="C839" s="8"/>
      <c r="D839" s="278"/>
      <c r="E839" s="278"/>
      <c r="F839" s="278"/>
      <c r="G839" s="278"/>
      <c r="H839" s="278"/>
      <c r="I839" s="27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278"/>
      <c r="AC839" s="8"/>
      <c r="AD839" s="8"/>
      <c r="AE839" s="8"/>
    </row>
    <row r="840" ht="13.5" customHeight="1">
      <c r="A840" s="8"/>
      <c r="B840" s="278"/>
      <c r="C840" s="8"/>
      <c r="D840" s="278"/>
      <c r="E840" s="278"/>
      <c r="F840" s="278"/>
      <c r="G840" s="278"/>
      <c r="H840" s="278"/>
      <c r="I840" s="27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278"/>
      <c r="AC840" s="8"/>
      <c r="AD840" s="8"/>
      <c r="AE840" s="8"/>
    </row>
    <row r="841" ht="13.5" customHeight="1">
      <c r="A841" s="8"/>
      <c r="B841" s="278"/>
      <c r="C841" s="8"/>
      <c r="D841" s="278"/>
      <c r="E841" s="278"/>
      <c r="F841" s="278"/>
      <c r="G841" s="278"/>
      <c r="H841" s="278"/>
      <c r="I841" s="27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278"/>
      <c r="AC841" s="8"/>
      <c r="AD841" s="8"/>
      <c r="AE841" s="8"/>
    </row>
    <row r="842" ht="13.5" customHeight="1">
      <c r="A842" s="8"/>
      <c r="B842" s="278"/>
      <c r="C842" s="8"/>
      <c r="D842" s="278"/>
      <c r="E842" s="278"/>
      <c r="F842" s="278"/>
      <c r="G842" s="278"/>
      <c r="H842" s="278"/>
      <c r="I842" s="27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278"/>
      <c r="AC842" s="8"/>
      <c r="AD842" s="8"/>
      <c r="AE842" s="8"/>
    </row>
    <row r="843" ht="13.5" customHeight="1">
      <c r="A843" s="8"/>
      <c r="B843" s="278"/>
      <c r="C843" s="8"/>
      <c r="D843" s="278"/>
      <c r="E843" s="278"/>
      <c r="F843" s="278"/>
      <c r="G843" s="278"/>
      <c r="H843" s="278"/>
      <c r="I843" s="27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278"/>
      <c r="AC843" s="8"/>
      <c r="AD843" s="8"/>
      <c r="AE843" s="8"/>
    </row>
    <row r="844" ht="13.5" customHeight="1">
      <c r="A844" s="8"/>
      <c r="B844" s="278"/>
      <c r="C844" s="8"/>
      <c r="D844" s="278"/>
      <c r="E844" s="278"/>
      <c r="F844" s="278"/>
      <c r="G844" s="278"/>
      <c r="H844" s="278"/>
      <c r="I844" s="27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278"/>
      <c r="AC844" s="8"/>
      <c r="AD844" s="8"/>
      <c r="AE844" s="8"/>
    </row>
    <row r="845" ht="13.5" customHeight="1">
      <c r="A845" s="8"/>
      <c r="B845" s="278"/>
      <c r="C845" s="8"/>
      <c r="D845" s="278"/>
      <c r="E845" s="278"/>
      <c r="F845" s="278"/>
      <c r="G845" s="278"/>
      <c r="H845" s="278"/>
      <c r="I845" s="27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278"/>
      <c r="AC845" s="8"/>
      <c r="AD845" s="8"/>
      <c r="AE845" s="8"/>
    </row>
    <row r="846" ht="13.5" customHeight="1">
      <c r="A846" s="8"/>
      <c r="B846" s="278"/>
      <c r="C846" s="8"/>
      <c r="D846" s="278"/>
      <c r="E846" s="278"/>
      <c r="F846" s="278"/>
      <c r="G846" s="278"/>
      <c r="H846" s="278"/>
      <c r="I846" s="27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278"/>
      <c r="AC846" s="8"/>
      <c r="AD846" s="8"/>
      <c r="AE846" s="8"/>
    </row>
    <row r="847" ht="13.5" customHeight="1">
      <c r="A847" s="8"/>
      <c r="B847" s="278"/>
      <c r="C847" s="8"/>
      <c r="D847" s="278"/>
      <c r="E847" s="278"/>
      <c r="F847" s="278"/>
      <c r="G847" s="278"/>
      <c r="H847" s="278"/>
      <c r="I847" s="27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278"/>
      <c r="AC847" s="8"/>
      <c r="AD847" s="8"/>
      <c r="AE847" s="8"/>
    </row>
    <row r="848" ht="13.5" customHeight="1">
      <c r="A848" s="8"/>
      <c r="B848" s="278"/>
      <c r="C848" s="8"/>
      <c r="D848" s="278"/>
      <c r="E848" s="278"/>
      <c r="F848" s="278"/>
      <c r="G848" s="278"/>
      <c r="H848" s="278"/>
      <c r="I848" s="27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278"/>
      <c r="AC848" s="8"/>
      <c r="AD848" s="8"/>
      <c r="AE848" s="8"/>
    </row>
    <row r="849" ht="13.5" customHeight="1">
      <c r="A849" s="8"/>
      <c r="B849" s="278"/>
      <c r="C849" s="8"/>
      <c r="D849" s="278"/>
      <c r="E849" s="278"/>
      <c r="F849" s="278"/>
      <c r="G849" s="278"/>
      <c r="H849" s="278"/>
      <c r="I849" s="27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278"/>
      <c r="AC849" s="8"/>
      <c r="AD849" s="8"/>
      <c r="AE849" s="8"/>
    </row>
    <row r="850" ht="13.5" customHeight="1">
      <c r="A850" s="8"/>
      <c r="B850" s="278"/>
      <c r="C850" s="8"/>
      <c r="D850" s="278"/>
      <c r="E850" s="278"/>
      <c r="F850" s="278"/>
      <c r="G850" s="278"/>
      <c r="H850" s="278"/>
      <c r="I850" s="27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278"/>
      <c r="AC850" s="8"/>
      <c r="AD850" s="8"/>
      <c r="AE850" s="8"/>
    </row>
    <row r="851" ht="13.5" customHeight="1">
      <c r="A851" s="8"/>
      <c r="B851" s="278"/>
      <c r="C851" s="8"/>
      <c r="D851" s="278"/>
      <c r="E851" s="278"/>
      <c r="F851" s="278"/>
      <c r="G851" s="278"/>
      <c r="H851" s="278"/>
      <c r="I851" s="27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278"/>
      <c r="AC851" s="8"/>
      <c r="AD851" s="8"/>
      <c r="AE851" s="8"/>
    </row>
    <row r="852" ht="13.5" customHeight="1">
      <c r="A852" s="8"/>
      <c r="B852" s="278"/>
      <c r="C852" s="8"/>
      <c r="D852" s="278"/>
      <c r="E852" s="278"/>
      <c r="F852" s="278"/>
      <c r="G852" s="278"/>
      <c r="H852" s="278"/>
      <c r="I852" s="27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278"/>
      <c r="AC852" s="8"/>
      <c r="AD852" s="8"/>
      <c r="AE852" s="8"/>
    </row>
    <row r="853" ht="13.5" customHeight="1">
      <c r="A853" s="8"/>
      <c r="B853" s="278"/>
      <c r="C853" s="8"/>
      <c r="D853" s="278"/>
      <c r="E853" s="278"/>
      <c r="F853" s="278"/>
      <c r="G853" s="278"/>
      <c r="H853" s="278"/>
      <c r="I853" s="27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278"/>
      <c r="AC853" s="8"/>
      <c r="AD853" s="8"/>
      <c r="AE853" s="8"/>
    </row>
    <row r="854" ht="13.5" customHeight="1">
      <c r="A854" s="8"/>
      <c r="B854" s="278"/>
      <c r="C854" s="8"/>
      <c r="D854" s="278"/>
      <c r="E854" s="278"/>
      <c r="F854" s="278"/>
      <c r="G854" s="278"/>
      <c r="H854" s="278"/>
      <c r="I854" s="27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278"/>
      <c r="AC854" s="8"/>
      <c r="AD854" s="8"/>
      <c r="AE854" s="8"/>
    </row>
    <row r="855" ht="13.5" customHeight="1">
      <c r="A855" s="8"/>
      <c r="B855" s="278"/>
      <c r="C855" s="8"/>
      <c r="D855" s="278"/>
      <c r="E855" s="278"/>
      <c r="F855" s="278"/>
      <c r="G855" s="278"/>
      <c r="H855" s="278"/>
      <c r="I855" s="27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278"/>
      <c r="AC855" s="8"/>
      <c r="AD855" s="8"/>
      <c r="AE855" s="8"/>
    </row>
    <row r="856" ht="13.5" customHeight="1">
      <c r="A856" s="8"/>
      <c r="B856" s="278"/>
      <c r="C856" s="8"/>
      <c r="D856" s="278"/>
      <c r="E856" s="278"/>
      <c r="F856" s="278"/>
      <c r="G856" s="278"/>
      <c r="H856" s="278"/>
      <c r="I856" s="27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278"/>
      <c r="AC856" s="8"/>
      <c r="AD856" s="8"/>
      <c r="AE856" s="8"/>
    </row>
    <row r="857" ht="13.5" customHeight="1">
      <c r="A857" s="8"/>
      <c r="B857" s="278"/>
      <c r="C857" s="8"/>
      <c r="D857" s="278"/>
      <c r="E857" s="278"/>
      <c r="F857" s="278"/>
      <c r="G857" s="278"/>
      <c r="H857" s="278"/>
      <c r="I857" s="27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278"/>
      <c r="AC857" s="8"/>
      <c r="AD857" s="8"/>
      <c r="AE857" s="8"/>
    </row>
    <row r="858" ht="13.5" customHeight="1">
      <c r="A858" s="8"/>
      <c r="B858" s="278"/>
      <c r="C858" s="8"/>
      <c r="D858" s="278"/>
      <c r="E858" s="278"/>
      <c r="F858" s="278"/>
      <c r="G858" s="278"/>
      <c r="H858" s="278"/>
      <c r="I858" s="27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278"/>
      <c r="AC858" s="8"/>
      <c r="AD858" s="8"/>
      <c r="AE858" s="8"/>
    </row>
    <row r="859" ht="13.5" customHeight="1">
      <c r="A859" s="8"/>
      <c r="B859" s="278"/>
      <c r="C859" s="8"/>
      <c r="D859" s="278"/>
      <c r="E859" s="278"/>
      <c r="F859" s="278"/>
      <c r="G859" s="278"/>
      <c r="H859" s="278"/>
      <c r="I859" s="27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278"/>
      <c r="AC859" s="8"/>
      <c r="AD859" s="8"/>
      <c r="AE859" s="8"/>
    </row>
    <row r="860" ht="13.5" customHeight="1">
      <c r="A860" s="8"/>
      <c r="B860" s="278"/>
      <c r="C860" s="8"/>
      <c r="D860" s="278"/>
      <c r="E860" s="278"/>
      <c r="F860" s="278"/>
      <c r="G860" s="278"/>
      <c r="H860" s="278"/>
      <c r="I860" s="27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278"/>
      <c r="AC860" s="8"/>
      <c r="AD860" s="8"/>
      <c r="AE860" s="8"/>
    </row>
    <row r="861" ht="13.5" customHeight="1">
      <c r="A861" s="8"/>
      <c r="B861" s="278"/>
      <c r="C861" s="8"/>
      <c r="D861" s="278"/>
      <c r="E861" s="278"/>
      <c r="F861" s="278"/>
      <c r="G861" s="278"/>
      <c r="H861" s="278"/>
      <c r="I861" s="27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278"/>
      <c r="AC861" s="8"/>
      <c r="AD861" s="8"/>
      <c r="AE861" s="8"/>
    </row>
    <row r="862" ht="13.5" customHeight="1">
      <c r="A862" s="8"/>
      <c r="B862" s="278"/>
      <c r="C862" s="8"/>
      <c r="D862" s="278"/>
      <c r="E862" s="278"/>
      <c r="F862" s="278"/>
      <c r="G862" s="278"/>
      <c r="H862" s="278"/>
      <c r="I862" s="27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278"/>
      <c r="AC862" s="8"/>
      <c r="AD862" s="8"/>
      <c r="AE862" s="8"/>
    </row>
    <row r="863" ht="13.5" customHeight="1">
      <c r="A863" s="8"/>
      <c r="B863" s="278"/>
      <c r="C863" s="8"/>
      <c r="D863" s="278"/>
      <c r="E863" s="278"/>
      <c r="F863" s="278"/>
      <c r="G863" s="278"/>
      <c r="H863" s="278"/>
      <c r="I863" s="27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278"/>
      <c r="AC863" s="8"/>
      <c r="AD863" s="8"/>
      <c r="AE863" s="8"/>
    </row>
    <row r="864" ht="13.5" customHeight="1">
      <c r="A864" s="8"/>
      <c r="B864" s="278"/>
      <c r="C864" s="8"/>
      <c r="D864" s="278"/>
      <c r="E864" s="278"/>
      <c r="F864" s="278"/>
      <c r="G864" s="278"/>
      <c r="H864" s="278"/>
      <c r="I864" s="27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278"/>
      <c r="AC864" s="8"/>
      <c r="AD864" s="8"/>
      <c r="AE864" s="8"/>
    </row>
    <row r="865" ht="13.5" customHeight="1">
      <c r="A865" s="8"/>
      <c r="B865" s="278"/>
      <c r="C865" s="8"/>
      <c r="D865" s="278"/>
      <c r="E865" s="278"/>
      <c r="F865" s="278"/>
      <c r="G865" s="278"/>
      <c r="H865" s="278"/>
      <c r="I865" s="27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278"/>
      <c r="AC865" s="8"/>
      <c r="AD865" s="8"/>
      <c r="AE865" s="8"/>
    </row>
    <row r="866" ht="13.5" customHeight="1">
      <c r="A866" s="8"/>
      <c r="B866" s="278"/>
      <c r="C866" s="8"/>
      <c r="D866" s="278"/>
      <c r="E866" s="278"/>
      <c r="F866" s="278"/>
      <c r="G866" s="278"/>
      <c r="H866" s="278"/>
      <c r="I866" s="27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278"/>
      <c r="AC866" s="8"/>
      <c r="AD866" s="8"/>
      <c r="AE866" s="8"/>
    </row>
    <row r="867" ht="13.5" customHeight="1">
      <c r="A867" s="8"/>
      <c r="B867" s="278"/>
      <c r="C867" s="8"/>
      <c r="D867" s="278"/>
      <c r="E867" s="278"/>
      <c r="F867" s="278"/>
      <c r="G867" s="278"/>
      <c r="H867" s="278"/>
      <c r="I867" s="27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278"/>
      <c r="AC867" s="8"/>
      <c r="AD867" s="8"/>
      <c r="AE867" s="8"/>
    </row>
    <row r="868" ht="13.5" customHeight="1">
      <c r="A868" s="8"/>
      <c r="B868" s="278"/>
      <c r="C868" s="8"/>
      <c r="D868" s="278"/>
      <c r="E868" s="278"/>
      <c r="F868" s="278"/>
      <c r="G868" s="278"/>
      <c r="H868" s="278"/>
      <c r="I868" s="27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278"/>
      <c r="AC868" s="8"/>
      <c r="AD868" s="8"/>
      <c r="AE868" s="8"/>
    </row>
    <row r="869" ht="13.5" customHeight="1">
      <c r="A869" s="8"/>
      <c r="B869" s="278"/>
      <c r="C869" s="8"/>
      <c r="D869" s="278"/>
      <c r="E869" s="278"/>
      <c r="F869" s="278"/>
      <c r="G869" s="278"/>
      <c r="H869" s="278"/>
      <c r="I869" s="27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278"/>
      <c r="AC869" s="8"/>
      <c r="AD869" s="8"/>
      <c r="AE869" s="8"/>
    </row>
    <row r="870" ht="13.5" customHeight="1">
      <c r="A870" s="8"/>
      <c r="B870" s="278"/>
      <c r="C870" s="8"/>
      <c r="D870" s="278"/>
      <c r="E870" s="278"/>
      <c r="F870" s="278"/>
      <c r="G870" s="278"/>
      <c r="H870" s="278"/>
      <c r="I870" s="27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278"/>
      <c r="AC870" s="8"/>
      <c r="AD870" s="8"/>
      <c r="AE870" s="8"/>
    </row>
    <row r="871" ht="13.5" customHeight="1">
      <c r="A871" s="8"/>
      <c r="B871" s="278"/>
      <c r="C871" s="8"/>
      <c r="D871" s="278"/>
      <c r="E871" s="278"/>
      <c r="F871" s="278"/>
      <c r="G871" s="278"/>
      <c r="H871" s="278"/>
      <c r="I871" s="27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278"/>
      <c r="AC871" s="8"/>
      <c r="AD871" s="8"/>
      <c r="AE871" s="8"/>
    </row>
    <row r="872" ht="13.5" customHeight="1">
      <c r="A872" s="8"/>
      <c r="B872" s="278"/>
      <c r="C872" s="8"/>
      <c r="D872" s="278"/>
      <c r="E872" s="278"/>
      <c r="F872" s="278"/>
      <c r="G872" s="278"/>
      <c r="H872" s="278"/>
      <c r="I872" s="27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278"/>
      <c r="AC872" s="8"/>
      <c r="AD872" s="8"/>
      <c r="AE872" s="8"/>
    </row>
    <row r="873" ht="13.5" customHeight="1">
      <c r="A873" s="8"/>
      <c r="B873" s="278"/>
      <c r="C873" s="8"/>
      <c r="D873" s="278"/>
      <c r="E873" s="278"/>
      <c r="F873" s="278"/>
      <c r="G873" s="278"/>
      <c r="H873" s="278"/>
      <c r="I873" s="27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278"/>
      <c r="AC873" s="8"/>
      <c r="AD873" s="8"/>
      <c r="AE873" s="8"/>
    </row>
    <row r="874" ht="13.5" customHeight="1">
      <c r="A874" s="8"/>
      <c r="B874" s="278"/>
      <c r="C874" s="8"/>
      <c r="D874" s="278"/>
      <c r="E874" s="278"/>
      <c r="F874" s="278"/>
      <c r="G874" s="278"/>
      <c r="H874" s="278"/>
      <c r="I874" s="27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278"/>
      <c r="AC874" s="8"/>
      <c r="AD874" s="8"/>
      <c r="AE874" s="8"/>
    </row>
    <row r="875" ht="13.5" customHeight="1">
      <c r="A875" s="8"/>
      <c r="B875" s="278"/>
      <c r="C875" s="8"/>
      <c r="D875" s="278"/>
      <c r="E875" s="278"/>
      <c r="F875" s="278"/>
      <c r="G875" s="278"/>
      <c r="H875" s="278"/>
      <c r="I875" s="27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278"/>
      <c r="AC875" s="8"/>
      <c r="AD875" s="8"/>
      <c r="AE875" s="8"/>
    </row>
    <row r="876" ht="13.5" customHeight="1">
      <c r="A876" s="8"/>
      <c r="B876" s="278"/>
      <c r="C876" s="8"/>
      <c r="D876" s="278"/>
      <c r="E876" s="278"/>
      <c r="F876" s="278"/>
      <c r="G876" s="278"/>
      <c r="H876" s="278"/>
      <c r="I876" s="27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278"/>
      <c r="AC876" s="8"/>
      <c r="AD876" s="8"/>
      <c r="AE876" s="8"/>
    </row>
    <row r="877" ht="13.5" customHeight="1">
      <c r="A877" s="8"/>
      <c r="B877" s="278"/>
      <c r="C877" s="8"/>
      <c r="D877" s="278"/>
      <c r="E877" s="278"/>
      <c r="F877" s="278"/>
      <c r="G877" s="278"/>
      <c r="H877" s="278"/>
      <c r="I877" s="27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278"/>
      <c r="AC877" s="8"/>
      <c r="AD877" s="8"/>
      <c r="AE877" s="8"/>
    </row>
    <row r="878" ht="13.5" customHeight="1">
      <c r="A878" s="8"/>
      <c r="B878" s="278"/>
      <c r="C878" s="8"/>
      <c r="D878" s="278"/>
      <c r="E878" s="278"/>
      <c r="F878" s="278"/>
      <c r="G878" s="278"/>
      <c r="H878" s="278"/>
      <c r="I878" s="27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278"/>
      <c r="AC878" s="8"/>
      <c r="AD878" s="8"/>
      <c r="AE878" s="8"/>
    </row>
    <row r="879" ht="13.5" customHeight="1">
      <c r="A879" s="8"/>
      <c r="B879" s="278"/>
      <c r="C879" s="8"/>
      <c r="D879" s="278"/>
      <c r="E879" s="278"/>
      <c r="F879" s="278"/>
      <c r="G879" s="278"/>
      <c r="H879" s="278"/>
      <c r="I879" s="27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278"/>
      <c r="AC879" s="8"/>
      <c r="AD879" s="8"/>
      <c r="AE879" s="8"/>
    </row>
    <row r="880" ht="13.5" customHeight="1">
      <c r="A880" s="8"/>
      <c r="B880" s="278"/>
      <c r="C880" s="8"/>
      <c r="D880" s="278"/>
      <c r="E880" s="278"/>
      <c r="F880" s="278"/>
      <c r="G880" s="278"/>
      <c r="H880" s="278"/>
      <c r="I880" s="27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278"/>
      <c r="AC880" s="8"/>
      <c r="AD880" s="8"/>
      <c r="AE880" s="8"/>
    </row>
    <row r="881" ht="13.5" customHeight="1">
      <c r="A881" s="8"/>
      <c r="B881" s="278"/>
      <c r="C881" s="8"/>
      <c r="D881" s="278"/>
      <c r="E881" s="278"/>
      <c r="F881" s="278"/>
      <c r="G881" s="278"/>
      <c r="H881" s="278"/>
      <c r="I881" s="27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278"/>
      <c r="AC881" s="8"/>
      <c r="AD881" s="8"/>
      <c r="AE881" s="8"/>
    </row>
    <row r="882" ht="13.5" customHeight="1">
      <c r="A882" s="8"/>
      <c r="B882" s="278"/>
      <c r="C882" s="8"/>
      <c r="D882" s="278"/>
      <c r="E882" s="278"/>
      <c r="F882" s="278"/>
      <c r="G882" s="278"/>
      <c r="H882" s="278"/>
      <c r="I882" s="27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278"/>
      <c r="AC882" s="8"/>
      <c r="AD882" s="8"/>
      <c r="AE882" s="8"/>
    </row>
    <row r="883" ht="13.5" customHeight="1">
      <c r="A883" s="8"/>
      <c r="B883" s="278"/>
      <c r="C883" s="8"/>
      <c r="D883" s="278"/>
      <c r="E883" s="278"/>
      <c r="F883" s="278"/>
      <c r="G883" s="278"/>
      <c r="H883" s="278"/>
      <c r="I883" s="27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278"/>
      <c r="AC883" s="8"/>
      <c r="AD883" s="8"/>
      <c r="AE883" s="8"/>
    </row>
    <row r="884" ht="13.5" customHeight="1">
      <c r="A884" s="8"/>
      <c r="B884" s="278"/>
      <c r="C884" s="8"/>
      <c r="D884" s="278"/>
      <c r="E884" s="278"/>
      <c r="F884" s="278"/>
      <c r="G884" s="278"/>
      <c r="H884" s="278"/>
      <c r="I884" s="27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278"/>
      <c r="AC884" s="8"/>
      <c r="AD884" s="8"/>
      <c r="AE884" s="8"/>
    </row>
    <row r="885" ht="13.5" customHeight="1">
      <c r="A885" s="8"/>
      <c r="B885" s="278"/>
      <c r="C885" s="8"/>
      <c r="D885" s="278"/>
      <c r="E885" s="278"/>
      <c r="F885" s="278"/>
      <c r="G885" s="278"/>
      <c r="H885" s="278"/>
      <c r="I885" s="27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278"/>
      <c r="AC885" s="8"/>
      <c r="AD885" s="8"/>
      <c r="AE885" s="8"/>
    </row>
    <row r="886" ht="13.5" customHeight="1">
      <c r="A886" s="8"/>
      <c r="B886" s="278"/>
      <c r="C886" s="8"/>
      <c r="D886" s="278"/>
      <c r="E886" s="278"/>
      <c r="F886" s="278"/>
      <c r="G886" s="278"/>
      <c r="H886" s="278"/>
      <c r="I886" s="27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278"/>
      <c r="AC886" s="8"/>
      <c r="AD886" s="8"/>
      <c r="AE886" s="8"/>
    </row>
    <row r="887" ht="13.5" customHeight="1">
      <c r="A887" s="8"/>
      <c r="B887" s="278"/>
      <c r="C887" s="8"/>
      <c r="D887" s="278"/>
      <c r="E887" s="278"/>
      <c r="F887" s="278"/>
      <c r="G887" s="278"/>
      <c r="H887" s="278"/>
      <c r="I887" s="27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278"/>
      <c r="AC887" s="8"/>
      <c r="AD887" s="8"/>
      <c r="AE887" s="8"/>
    </row>
    <row r="888" ht="13.5" customHeight="1">
      <c r="A888" s="8"/>
      <c r="B888" s="278"/>
      <c r="C888" s="8"/>
      <c r="D888" s="278"/>
      <c r="E888" s="278"/>
      <c r="F888" s="278"/>
      <c r="G888" s="278"/>
      <c r="H888" s="278"/>
      <c r="I888" s="27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278"/>
      <c r="AC888" s="8"/>
      <c r="AD888" s="8"/>
      <c r="AE888" s="8"/>
    </row>
    <row r="889" ht="13.5" customHeight="1">
      <c r="A889" s="8"/>
      <c r="B889" s="278"/>
      <c r="C889" s="8"/>
      <c r="D889" s="278"/>
      <c r="E889" s="278"/>
      <c r="F889" s="278"/>
      <c r="G889" s="278"/>
      <c r="H889" s="278"/>
      <c r="I889" s="27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278"/>
      <c r="AC889" s="8"/>
      <c r="AD889" s="8"/>
      <c r="AE889" s="8"/>
    </row>
    <row r="890" ht="13.5" customHeight="1">
      <c r="A890" s="8"/>
      <c r="B890" s="278"/>
      <c r="C890" s="8"/>
      <c r="D890" s="278"/>
      <c r="E890" s="278"/>
      <c r="F890" s="278"/>
      <c r="G890" s="278"/>
      <c r="H890" s="278"/>
      <c r="I890" s="27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278"/>
      <c r="AC890" s="8"/>
      <c r="AD890" s="8"/>
      <c r="AE890" s="8"/>
    </row>
    <row r="891" ht="13.5" customHeight="1">
      <c r="A891" s="8"/>
      <c r="B891" s="278"/>
      <c r="C891" s="8"/>
      <c r="D891" s="278"/>
      <c r="E891" s="278"/>
      <c r="F891" s="278"/>
      <c r="G891" s="278"/>
      <c r="H891" s="278"/>
      <c r="I891" s="27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278"/>
      <c r="AC891" s="8"/>
      <c r="AD891" s="8"/>
      <c r="AE891" s="8"/>
    </row>
    <row r="892" ht="13.5" customHeight="1">
      <c r="A892" s="8"/>
      <c r="B892" s="278"/>
      <c r="C892" s="8"/>
      <c r="D892" s="278"/>
      <c r="E892" s="278"/>
      <c r="F892" s="278"/>
      <c r="G892" s="278"/>
      <c r="H892" s="278"/>
      <c r="I892" s="27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278"/>
      <c r="AC892" s="8"/>
      <c r="AD892" s="8"/>
      <c r="AE892" s="8"/>
    </row>
    <row r="893" ht="13.5" customHeight="1">
      <c r="A893" s="8"/>
      <c r="B893" s="278"/>
      <c r="C893" s="8"/>
      <c r="D893" s="278"/>
      <c r="E893" s="278"/>
      <c r="F893" s="278"/>
      <c r="G893" s="278"/>
      <c r="H893" s="278"/>
      <c r="I893" s="27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278"/>
      <c r="AC893" s="8"/>
      <c r="AD893" s="8"/>
      <c r="AE893" s="8"/>
    </row>
    <row r="894" ht="13.5" customHeight="1">
      <c r="A894" s="8"/>
      <c r="B894" s="278"/>
      <c r="C894" s="8"/>
      <c r="D894" s="278"/>
      <c r="E894" s="278"/>
      <c r="F894" s="278"/>
      <c r="G894" s="278"/>
      <c r="H894" s="278"/>
      <c r="I894" s="27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278"/>
      <c r="AC894" s="8"/>
      <c r="AD894" s="8"/>
      <c r="AE894" s="8"/>
    </row>
    <row r="895" ht="13.5" customHeight="1">
      <c r="A895" s="8"/>
      <c r="B895" s="278"/>
      <c r="C895" s="8"/>
      <c r="D895" s="278"/>
      <c r="E895" s="278"/>
      <c r="F895" s="278"/>
      <c r="G895" s="278"/>
      <c r="H895" s="278"/>
      <c r="I895" s="27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278"/>
      <c r="AC895" s="8"/>
      <c r="AD895" s="8"/>
      <c r="AE895" s="8"/>
    </row>
    <row r="896" ht="13.5" customHeight="1">
      <c r="A896" s="8"/>
      <c r="B896" s="278"/>
      <c r="C896" s="8"/>
      <c r="D896" s="278"/>
      <c r="E896" s="278"/>
      <c r="F896" s="278"/>
      <c r="G896" s="278"/>
      <c r="H896" s="278"/>
      <c r="I896" s="27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278"/>
      <c r="AC896" s="8"/>
      <c r="AD896" s="8"/>
      <c r="AE896" s="8"/>
    </row>
    <row r="897" ht="13.5" customHeight="1">
      <c r="A897" s="8"/>
      <c r="B897" s="278"/>
      <c r="C897" s="8"/>
      <c r="D897" s="278"/>
      <c r="E897" s="278"/>
      <c r="F897" s="278"/>
      <c r="G897" s="278"/>
      <c r="H897" s="278"/>
      <c r="I897" s="27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278"/>
      <c r="AC897" s="8"/>
      <c r="AD897" s="8"/>
      <c r="AE897" s="8"/>
    </row>
    <row r="898" ht="13.5" customHeight="1">
      <c r="A898" s="8"/>
      <c r="B898" s="278"/>
      <c r="C898" s="8"/>
      <c r="D898" s="278"/>
      <c r="E898" s="278"/>
      <c r="F898" s="278"/>
      <c r="G898" s="278"/>
      <c r="H898" s="278"/>
      <c r="I898" s="27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278"/>
      <c r="AC898" s="8"/>
      <c r="AD898" s="8"/>
      <c r="AE898" s="8"/>
    </row>
    <row r="899" ht="13.5" customHeight="1">
      <c r="A899" s="8"/>
      <c r="B899" s="278"/>
      <c r="C899" s="8"/>
      <c r="D899" s="278"/>
      <c r="E899" s="278"/>
      <c r="F899" s="278"/>
      <c r="G899" s="278"/>
      <c r="H899" s="278"/>
      <c r="I899" s="27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278"/>
      <c r="AC899" s="8"/>
      <c r="AD899" s="8"/>
      <c r="AE899" s="8"/>
    </row>
    <row r="900" ht="13.5" customHeight="1">
      <c r="A900" s="8"/>
      <c r="B900" s="278"/>
      <c r="C900" s="8"/>
      <c r="D900" s="278"/>
      <c r="E900" s="278"/>
      <c r="F900" s="278"/>
      <c r="G900" s="278"/>
      <c r="H900" s="278"/>
      <c r="I900" s="27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278"/>
      <c r="AC900" s="8"/>
      <c r="AD900" s="8"/>
      <c r="AE900" s="8"/>
    </row>
    <row r="901" ht="13.5" customHeight="1">
      <c r="A901" s="8"/>
      <c r="B901" s="278"/>
      <c r="C901" s="8"/>
      <c r="D901" s="278"/>
      <c r="E901" s="278"/>
      <c r="F901" s="278"/>
      <c r="G901" s="278"/>
      <c r="H901" s="278"/>
      <c r="I901" s="27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278"/>
      <c r="AC901" s="8"/>
      <c r="AD901" s="8"/>
      <c r="AE901" s="8"/>
    </row>
    <row r="902" ht="13.5" customHeight="1">
      <c r="A902" s="8"/>
      <c r="B902" s="278"/>
      <c r="C902" s="8"/>
      <c r="D902" s="278"/>
      <c r="E902" s="278"/>
      <c r="F902" s="278"/>
      <c r="G902" s="278"/>
      <c r="H902" s="278"/>
      <c r="I902" s="27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278"/>
      <c r="AC902" s="8"/>
      <c r="AD902" s="8"/>
      <c r="AE902" s="8"/>
    </row>
    <row r="903" ht="13.5" customHeight="1">
      <c r="A903" s="8"/>
      <c r="B903" s="278"/>
      <c r="C903" s="8"/>
      <c r="D903" s="278"/>
      <c r="E903" s="278"/>
      <c r="F903" s="278"/>
      <c r="G903" s="278"/>
      <c r="H903" s="278"/>
      <c r="I903" s="27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278"/>
      <c r="AC903" s="8"/>
      <c r="AD903" s="8"/>
      <c r="AE903" s="8"/>
    </row>
    <row r="904" ht="13.5" customHeight="1">
      <c r="A904" s="8"/>
      <c r="B904" s="278"/>
      <c r="C904" s="8"/>
      <c r="D904" s="278"/>
      <c r="E904" s="278"/>
      <c r="F904" s="278"/>
      <c r="G904" s="278"/>
      <c r="H904" s="278"/>
      <c r="I904" s="27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278"/>
      <c r="AC904" s="8"/>
      <c r="AD904" s="8"/>
      <c r="AE904" s="8"/>
    </row>
    <row r="905" ht="13.5" customHeight="1">
      <c r="A905" s="8"/>
      <c r="B905" s="278"/>
      <c r="C905" s="8"/>
      <c r="D905" s="278"/>
      <c r="E905" s="278"/>
      <c r="F905" s="278"/>
      <c r="G905" s="278"/>
      <c r="H905" s="278"/>
      <c r="I905" s="27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278"/>
      <c r="AC905" s="8"/>
      <c r="AD905" s="8"/>
      <c r="AE905" s="8"/>
    </row>
    <row r="906" ht="13.5" customHeight="1">
      <c r="A906" s="8"/>
      <c r="B906" s="278"/>
      <c r="C906" s="8"/>
      <c r="D906" s="278"/>
      <c r="E906" s="278"/>
      <c r="F906" s="278"/>
      <c r="G906" s="278"/>
      <c r="H906" s="278"/>
      <c r="I906" s="27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278"/>
      <c r="AC906" s="8"/>
      <c r="AD906" s="8"/>
      <c r="AE906" s="8"/>
    </row>
    <row r="907" ht="13.5" customHeight="1">
      <c r="A907" s="8"/>
      <c r="B907" s="278"/>
      <c r="C907" s="8"/>
      <c r="D907" s="278"/>
      <c r="E907" s="278"/>
      <c r="F907" s="278"/>
      <c r="G907" s="278"/>
      <c r="H907" s="278"/>
      <c r="I907" s="27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278"/>
      <c r="AC907" s="8"/>
      <c r="AD907" s="8"/>
      <c r="AE907" s="8"/>
    </row>
    <row r="908" ht="13.5" customHeight="1">
      <c r="A908" s="8"/>
      <c r="B908" s="278"/>
      <c r="C908" s="8"/>
      <c r="D908" s="278"/>
      <c r="E908" s="278"/>
      <c r="F908" s="278"/>
      <c r="G908" s="278"/>
      <c r="H908" s="278"/>
      <c r="I908" s="27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278"/>
      <c r="AC908" s="8"/>
      <c r="AD908" s="8"/>
      <c r="AE908" s="8"/>
    </row>
    <row r="909" ht="13.5" customHeight="1">
      <c r="A909" s="8"/>
      <c r="B909" s="278"/>
      <c r="C909" s="8"/>
      <c r="D909" s="278"/>
      <c r="E909" s="278"/>
      <c r="F909" s="278"/>
      <c r="G909" s="278"/>
      <c r="H909" s="278"/>
      <c r="I909" s="27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278"/>
      <c r="AC909" s="8"/>
      <c r="AD909" s="8"/>
      <c r="AE909" s="8"/>
    </row>
    <row r="910" ht="13.5" customHeight="1">
      <c r="A910" s="8"/>
      <c r="B910" s="278"/>
      <c r="C910" s="8"/>
      <c r="D910" s="278"/>
      <c r="E910" s="278"/>
      <c r="F910" s="278"/>
      <c r="G910" s="278"/>
      <c r="H910" s="278"/>
      <c r="I910" s="27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278"/>
      <c r="AC910" s="8"/>
      <c r="AD910" s="8"/>
      <c r="AE910" s="8"/>
    </row>
    <row r="911" ht="13.5" customHeight="1">
      <c r="A911" s="8"/>
      <c r="B911" s="278"/>
      <c r="C911" s="8"/>
      <c r="D911" s="278"/>
      <c r="E911" s="278"/>
      <c r="F911" s="278"/>
      <c r="G911" s="278"/>
      <c r="H911" s="278"/>
      <c r="I911" s="27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278"/>
      <c r="AC911" s="8"/>
      <c r="AD911" s="8"/>
      <c r="AE911" s="8"/>
    </row>
    <row r="912" ht="13.5" customHeight="1">
      <c r="A912" s="8"/>
      <c r="B912" s="278"/>
      <c r="C912" s="8"/>
      <c r="D912" s="278"/>
      <c r="E912" s="278"/>
      <c r="F912" s="278"/>
      <c r="G912" s="278"/>
      <c r="H912" s="278"/>
      <c r="I912" s="27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278"/>
      <c r="AC912" s="8"/>
      <c r="AD912" s="8"/>
      <c r="AE912" s="8"/>
    </row>
    <row r="913" ht="13.5" customHeight="1">
      <c r="A913" s="8"/>
      <c r="B913" s="278"/>
      <c r="C913" s="8"/>
      <c r="D913" s="278"/>
      <c r="E913" s="278"/>
      <c r="F913" s="278"/>
      <c r="G913" s="278"/>
      <c r="H913" s="278"/>
      <c r="I913" s="27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278"/>
      <c r="AC913" s="8"/>
      <c r="AD913" s="8"/>
      <c r="AE913" s="8"/>
    </row>
    <row r="914" ht="13.5" customHeight="1">
      <c r="A914" s="8"/>
      <c r="B914" s="278"/>
      <c r="C914" s="8"/>
      <c r="D914" s="278"/>
      <c r="E914" s="278"/>
      <c r="F914" s="278"/>
      <c r="G914" s="278"/>
      <c r="H914" s="278"/>
      <c r="I914" s="27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278"/>
      <c r="AC914" s="8"/>
      <c r="AD914" s="8"/>
      <c r="AE914" s="8"/>
    </row>
    <row r="915" ht="13.5" customHeight="1">
      <c r="A915" s="8"/>
      <c r="B915" s="278"/>
      <c r="C915" s="8"/>
      <c r="D915" s="278"/>
      <c r="E915" s="278"/>
      <c r="F915" s="278"/>
      <c r="G915" s="278"/>
      <c r="H915" s="278"/>
      <c r="I915" s="27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278"/>
      <c r="AC915" s="8"/>
      <c r="AD915" s="8"/>
      <c r="AE915" s="8"/>
    </row>
    <row r="916" ht="13.5" customHeight="1">
      <c r="A916" s="8"/>
      <c r="B916" s="278"/>
      <c r="C916" s="8"/>
      <c r="D916" s="278"/>
      <c r="E916" s="278"/>
      <c r="F916" s="278"/>
      <c r="G916" s="278"/>
      <c r="H916" s="278"/>
      <c r="I916" s="27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278"/>
      <c r="AC916" s="8"/>
      <c r="AD916" s="8"/>
      <c r="AE916" s="8"/>
    </row>
    <row r="917" ht="13.5" customHeight="1">
      <c r="A917" s="8"/>
      <c r="B917" s="278"/>
      <c r="C917" s="8"/>
      <c r="D917" s="278"/>
      <c r="E917" s="278"/>
      <c r="F917" s="278"/>
      <c r="G917" s="278"/>
      <c r="H917" s="278"/>
      <c r="I917" s="27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278"/>
      <c r="AC917" s="8"/>
      <c r="AD917" s="8"/>
      <c r="AE917" s="8"/>
    </row>
    <row r="918" ht="13.5" customHeight="1">
      <c r="A918" s="8"/>
      <c r="B918" s="278"/>
      <c r="C918" s="8"/>
      <c r="D918" s="278"/>
      <c r="E918" s="278"/>
      <c r="F918" s="278"/>
      <c r="G918" s="278"/>
      <c r="H918" s="278"/>
      <c r="I918" s="27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278"/>
      <c r="AC918" s="8"/>
      <c r="AD918" s="8"/>
      <c r="AE918" s="8"/>
    </row>
    <row r="919" ht="13.5" customHeight="1">
      <c r="A919" s="8"/>
      <c r="B919" s="278"/>
      <c r="C919" s="8"/>
      <c r="D919" s="278"/>
      <c r="E919" s="278"/>
      <c r="F919" s="278"/>
      <c r="G919" s="278"/>
      <c r="H919" s="278"/>
      <c r="I919" s="27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278"/>
      <c r="AC919" s="8"/>
      <c r="AD919" s="8"/>
      <c r="AE919" s="8"/>
    </row>
    <row r="920" ht="13.5" customHeight="1">
      <c r="A920" s="8"/>
      <c r="B920" s="278"/>
      <c r="C920" s="8"/>
      <c r="D920" s="278"/>
      <c r="E920" s="278"/>
      <c r="F920" s="278"/>
      <c r="G920" s="278"/>
      <c r="H920" s="278"/>
      <c r="I920" s="27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278"/>
      <c r="AC920" s="8"/>
      <c r="AD920" s="8"/>
      <c r="AE920" s="8"/>
    </row>
    <row r="921" ht="13.5" customHeight="1">
      <c r="A921" s="8"/>
      <c r="B921" s="278"/>
      <c r="C921" s="8"/>
      <c r="D921" s="278"/>
      <c r="E921" s="278"/>
      <c r="F921" s="278"/>
      <c r="G921" s="278"/>
      <c r="H921" s="278"/>
      <c r="I921" s="27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278"/>
      <c r="AC921" s="8"/>
      <c r="AD921" s="8"/>
      <c r="AE921" s="8"/>
    </row>
    <row r="922" ht="13.5" customHeight="1">
      <c r="A922" s="8"/>
      <c r="B922" s="278"/>
      <c r="C922" s="8"/>
      <c r="D922" s="278"/>
      <c r="E922" s="278"/>
      <c r="F922" s="278"/>
      <c r="G922" s="278"/>
      <c r="H922" s="278"/>
      <c r="I922" s="27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278"/>
      <c r="AC922" s="8"/>
      <c r="AD922" s="8"/>
      <c r="AE922" s="8"/>
    </row>
    <row r="923" ht="13.5" customHeight="1">
      <c r="A923" s="8"/>
      <c r="B923" s="278"/>
      <c r="C923" s="8"/>
      <c r="D923" s="278"/>
      <c r="E923" s="278"/>
      <c r="F923" s="278"/>
      <c r="G923" s="278"/>
      <c r="H923" s="278"/>
      <c r="I923" s="27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278"/>
      <c r="AC923" s="8"/>
      <c r="AD923" s="8"/>
      <c r="AE923" s="8"/>
    </row>
    <row r="924" ht="13.5" customHeight="1">
      <c r="A924" s="8"/>
      <c r="B924" s="278"/>
      <c r="C924" s="8"/>
      <c r="D924" s="278"/>
      <c r="E924" s="278"/>
      <c r="F924" s="278"/>
      <c r="G924" s="278"/>
      <c r="H924" s="278"/>
      <c r="I924" s="27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278"/>
      <c r="AC924" s="8"/>
      <c r="AD924" s="8"/>
      <c r="AE924" s="8"/>
    </row>
    <row r="925" ht="13.5" customHeight="1">
      <c r="A925" s="8"/>
      <c r="B925" s="278"/>
      <c r="C925" s="8"/>
      <c r="D925" s="278"/>
      <c r="E925" s="278"/>
      <c r="F925" s="278"/>
      <c r="G925" s="278"/>
      <c r="H925" s="278"/>
      <c r="I925" s="27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278"/>
      <c r="AC925" s="8"/>
      <c r="AD925" s="8"/>
      <c r="AE925" s="8"/>
    </row>
    <row r="926" ht="13.5" customHeight="1">
      <c r="A926" s="8"/>
      <c r="B926" s="278"/>
      <c r="C926" s="8"/>
      <c r="D926" s="278"/>
      <c r="E926" s="278"/>
      <c r="F926" s="278"/>
      <c r="G926" s="278"/>
      <c r="H926" s="278"/>
      <c r="I926" s="27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278"/>
      <c r="AC926" s="8"/>
      <c r="AD926" s="8"/>
      <c r="AE926" s="8"/>
    </row>
    <row r="927" ht="13.5" customHeight="1">
      <c r="A927" s="8"/>
      <c r="B927" s="278"/>
      <c r="C927" s="8"/>
      <c r="D927" s="278"/>
      <c r="E927" s="278"/>
      <c r="F927" s="278"/>
      <c r="G927" s="278"/>
      <c r="H927" s="278"/>
      <c r="I927" s="27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278"/>
      <c r="AC927" s="8"/>
      <c r="AD927" s="8"/>
      <c r="AE927" s="8"/>
    </row>
    <row r="928" ht="13.5" customHeight="1">
      <c r="A928" s="8"/>
      <c r="B928" s="278"/>
      <c r="C928" s="8"/>
      <c r="D928" s="278"/>
      <c r="E928" s="278"/>
      <c r="F928" s="278"/>
      <c r="G928" s="278"/>
      <c r="H928" s="278"/>
      <c r="I928" s="27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278"/>
      <c r="AC928" s="8"/>
      <c r="AD928" s="8"/>
      <c r="AE928" s="8"/>
    </row>
    <row r="929" ht="13.5" customHeight="1">
      <c r="A929" s="8"/>
      <c r="B929" s="278"/>
      <c r="C929" s="8"/>
      <c r="D929" s="278"/>
      <c r="E929" s="278"/>
      <c r="F929" s="278"/>
      <c r="G929" s="278"/>
      <c r="H929" s="278"/>
      <c r="I929" s="27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278"/>
      <c r="AC929" s="8"/>
      <c r="AD929" s="8"/>
      <c r="AE929" s="8"/>
    </row>
    <row r="930" ht="13.5" customHeight="1">
      <c r="A930" s="8"/>
      <c r="B930" s="278"/>
      <c r="C930" s="8"/>
      <c r="D930" s="278"/>
      <c r="E930" s="278"/>
      <c r="F930" s="278"/>
      <c r="G930" s="278"/>
      <c r="H930" s="278"/>
      <c r="I930" s="27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278"/>
      <c r="AC930" s="8"/>
      <c r="AD930" s="8"/>
      <c r="AE930" s="8"/>
    </row>
    <row r="931" ht="13.5" customHeight="1">
      <c r="A931" s="8"/>
      <c r="B931" s="278"/>
      <c r="C931" s="8"/>
      <c r="D931" s="278"/>
      <c r="E931" s="278"/>
      <c r="F931" s="278"/>
      <c r="G931" s="278"/>
      <c r="H931" s="278"/>
      <c r="I931" s="27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278"/>
      <c r="AC931" s="8"/>
      <c r="AD931" s="8"/>
      <c r="AE931" s="8"/>
    </row>
    <row r="932" ht="13.5" customHeight="1">
      <c r="A932" s="8"/>
      <c r="B932" s="278"/>
      <c r="C932" s="8"/>
      <c r="D932" s="278"/>
      <c r="E932" s="278"/>
      <c r="F932" s="278"/>
      <c r="G932" s="278"/>
      <c r="H932" s="278"/>
      <c r="I932" s="27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278"/>
      <c r="AC932" s="8"/>
      <c r="AD932" s="8"/>
      <c r="AE932" s="8"/>
    </row>
    <row r="933" ht="13.5" customHeight="1">
      <c r="A933" s="8"/>
      <c r="B933" s="278"/>
      <c r="C933" s="8"/>
      <c r="D933" s="278"/>
      <c r="E933" s="278"/>
      <c r="F933" s="278"/>
      <c r="G933" s="278"/>
      <c r="H933" s="278"/>
      <c r="I933" s="27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278"/>
      <c r="AC933" s="8"/>
      <c r="AD933" s="8"/>
      <c r="AE933" s="8"/>
    </row>
    <row r="934" ht="13.5" customHeight="1">
      <c r="A934" s="8"/>
      <c r="B934" s="278"/>
      <c r="C934" s="8"/>
      <c r="D934" s="278"/>
      <c r="E934" s="278"/>
      <c r="F934" s="278"/>
      <c r="G934" s="278"/>
      <c r="H934" s="278"/>
      <c r="I934" s="27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278"/>
      <c r="AC934" s="8"/>
      <c r="AD934" s="8"/>
      <c r="AE934" s="8"/>
    </row>
    <row r="935" ht="13.5" customHeight="1">
      <c r="A935" s="8"/>
      <c r="B935" s="278"/>
      <c r="C935" s="8"/>
      <c r="D935" s="278"/>
      <c r="E935" s="278"/>
      <c r="F935" s="278"/>
      <c r="G935" s="278"/>
      <c r="H935" s="278"/>
      <c r="I935" s="27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278"/>
      <c r="AC935" s="8"/>
      <c r="AD935" s="8"/>
      <c r="AE935" s="8"/>
    </row>
    <row r="936" ht="13.5" customHeight="1">
      <c r="A936" s="8"/>
      <c r="B936" s="278"/>
      <c r="C936" s="8"/>
      <c r="D936" s="278"/>
      <c r="E936" s="278"/>
      <c r="F936" s="278"/>
      <c r="G936" s="278"/>
      <c r="H936" s="278"/>
      <c r="I936" s="27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278"/>
      <c r="AC936" s="8"/>
      <c r="AD936" s="8"/>
      <c r="AE936" s="8"/>
    </row>
    <row r="937" ht="13.5" customHeight="1">
      <c r="A937" s="8"/>
      <c r="B937" s="278"/>
      <c r="C937" s="8"/>
      <c r="D937" s="278"/>
      <c r="E937" s="278"/>
      <c r="F937" s="278"/>
      <c r="G937" s="278"/>
      <c r="H937" s="278"/>
      <c r="I937" s="27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278"/>
      <c r="AC937" s="8"/>
      <c r="AD937" s="8"/>
      <c r="AE937" s="8"/>
    </row>
    <row r="938" ht="13.5" customHeight="1">
      <c r="A938" s="8"/>
      <c r="B938" s="278"/>
      <c r="C938" s="8"/>
      <c r="D938" s="278"/>
      <c r="E938" s="278"/>
      <c r="F938" s="278"/>
      <c r="G938" s="278"/>
      <c r="H938" s="278"/>
      <c r="I938" s="27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278"/>
      <c r="AC938" s="8"/>
      <c r="AD938" s="8"/>
      <c r="AE938" s="8"/>
    </row>
    <row r="939" ht="13.5" customHeight="1">
      <c r="A939" s="8"/>
      <c r="B939" s="278"/>
      <c r="C939" s="8"/>
      <c r="D939" s="278"/>
      <c r="E939" s="278"/>
      <c r="F939" s="278"/>
      <c r="G939" s="278"/>
      <c r="H939" s="278"/>
      <c r="I939" s="27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278"/>
      <c r="AC939" s="8"/>
      <c r="AD939" s="8"/>
      <c r="AE939" s="8"/>
    </row>
    <row r="940" ht="13.5" customHeight="1">
      <c r="A940" s="8"/>
      <c r="B940" s="278"/>
      <c r="C940" s="8"/>
      <c r="D940" s="278"/>
      <c r="E940" s="278"/>
      <c r="F940" s="278"/>
      <c r="G940" s="278"/>
      <c r="H940" s="278"/>
      <c r="I940" s="27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278"/>
      <c r="AC940" s="8"/>
      <c r="AD940" s="8"/>
      <c r="AE940" s="8"/>
    </row>
    <row r="941" ht="13.5" customHeight="1">
      <c r="A941" s="8"/>
      <c r="B941" s="278"/>
      <c r="C941" s="8"/>
      <c r="D941" s="278"/>
      <c r="E941" s="278"/>
      <c r="F941" s="278"/>
      <c r="G941" s="278"/>
      <c r="H941" s="278"/>
      <c r="I941" s="27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278"/>
      <c r="AC941" s="8"/>
      <c r="AD941" s="8"/>
      <c r="AE941" s="8"/>
    </row>
    <row r="942" ht="13.5" customHeight="1">
      <c r="A942" s="8"/>
      <c r="B942" s="278"/>
      <c r="C942" s="8"/>
      <c r="D942" s="278"/>
      <c r="E942" s="278"/>
      <c r="F942" s="278"/>
      <c r="G942" s="278"/>
      <c r="H942" s="278"/>
      <c r="I942" s="27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278"/>
      <c r="AC942" s="8"/>
      <c r="AD942" s="8"/>
      <c r="AE942" s="8"/>
    </row>
    <row r="943" ht="13.5" customHeight="1">
      <c r="A943" s="8"/>
      <c r="B943" s="278"/>
      <c r="C943" s="8"/>
      <c r="D943" s="278"/>
      <c r="E943" s="278"/>
      <c r="F943" s="278"/>
      <c r="G943" s="278"/>
      <c r="H943" s="278"/>
      <c r="I943" s="27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278"/>
      <c r="AC943" s="8"/>
      <c r="AD943" s="8"/>
      <c r="AE943" s="8"/>
    </row>
    <row r="944" ht="13.5" customHeight="1">
      <c r="A944" s="8"/>
      <c r="B944" s="278"/>
      <c r="C944" s="8"/>
      <c r="D944" s="278"/>
      <c r="E944" s="278"/>
      <c r="F944" s="278"/>
      <c r="G944" s="278"/>
      <c r="H944" s="278"/>
      <c r="I944" s="27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278"/>
      <c r="AC944" s="8"/>
      <c r="AD944" s="8"/>
      <c r="AE944" s="8"/>
    </row>
    <row r="945" ht="13.5" customHeight="1">
      <c r="A945" s="8"/>
      <c r="B945" s="278"/>
      <c r="C945" s="8"/>
      <c r="D945" s="278"/>
      <c r="E945" s="278"/>
      <c r="F945" s="278"/>
      <c r="G945" s="278"/>
      <c r="H945" s="278"/>
      <c r="I945" s="27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278"/>
      <c r="AC945" s="8"/>
      <c r="AD945" s="8"/>
      <c r="AE945" s="8"/>
    </row>
    <row r="946" ht="13.5" customHeight="1">
      <c r="A946" s="8"/>
      <c r="B946" s="278"/>
      <c r="C946" s="8"/>
      <c r="D946" s="278"/>
      <c r="E946" s="278"/>
      <c r="F946" s="278"/>
      <c r="G946" s="278"/>
      <c r="H946" s="278"/>
      <c r="I946" s="27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278"/>
      <c r="AC946" s="8"/>
      <c r="AD946" s="8"/>
      <c r="AE946" s="8"/>
    </row>
    <row r="947" ht="13.5" customHeight="1">
      <c r="A947" s="8"/>
      <c r="B947" s="278"/>
      <c r="C947" s="8"/>
      <c r="D947" s="278"/>
      <c r="E947" s="278"/>
      <c r="F947" s="278"/>
      <c r="G947" s="278"/>
      <c r="H947" s="278"/>
      <c r="I947" s="27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278"/>
      <c r="AC947" s="8"/>
      <c r="AD947" s="8"/>
      <c r="AE947" s="8"/>
    </row>
    <row r="948" ht="13.5" customHeight="1">
      <c r="A948" s="8"/>
      <c r="B948" s="278"/>
      <c r="C948" s="8"/>
      <c r="D948" s="278"/>
      <c r="E948" s="278"/>
      <c r="F948" s="278"/>
      <c r="G948" s="278"/>
      <c r="H948" s="278"/>
      <c r="I948" s="27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278"/>
      <c r="AC948" s="8"/>
      <c r="AD948" s="8"/>
      <c r="AE948" s="8"/>
    </row>
    <row r="949" ht="13.5" customHeight="1">
      <c r="A949" s="8"/>
      <c r="B949" s="278"/>
      <c r="C949" s="8"/>
      <c r="D949" s="278"/>
      <c r="E949" s="278"/>
      <c r="F949" s="278"/>
      <c r="G949" s="278"/>
      <c r="H949" s="278"/>
      <c r="I949" s="27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278"/>
      <c r="AC949" s="8"/>
      <c r="AD949" s="8"/>
      <c r="AE949" s="8"/>
    </row>
    <row r="950" ht="13.5" customHeight="1">
      <c r="A950" s="8"/>
      <c r="B950" s="278"/>
      <c r="C950" s="8"/>
      <c r="D950" s="278"/>
      <c r="E950" s="278"/>
      <c r="F950" s="278"/>
      <c r="G950" s="278"/>
      <c r="H950" s="278"/>
      <c r="I950" s="27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278"/>
      <c r="AC950" s="8"/>
      <c r="AD950" s="8"/>
      <c r="AE950" s="8"/>
    </row>
    <row r="951" ht="13.5" customHeight="1">
      <c r="A951" s="8"/>
      <c r="B951" s="278"/>
      <c r="C951" s="8"/>
      <c r="D951" s="278"/>
      <c r="E951" s="278"/>
      <c r="F951" s="278"/>
      <c r="G951" s="278"/>
      <c r="H951" s="278"/>
      <c r="I951" s="27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278"/>
      <c r="AC951" s="8"/>
      <c r="AD951" s="8"/>
      <c r="AE951" s="8"/>
    </row>
    <row r="952" ht="13.5" customHeight="1">
      <c r="A952" s="8"/>
      <c r="B952" s="278"/>
      <c r="C952" s="8"/>
      <c r="D952" s="278"/>
      <c r="E952" s="278"/>
      <c r="F952" s="278"/>
      <c r="G952" s="278"/>
      <c r="H952" s="278"/>
      <c r="I952" s="27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278"/>
      <c r="AC952" s="8"/>
      <c r="AD952" s="8"/>
      <c r="AE952" s="8"/>
    </row>
    <row r="953" ht="13.5" customHeight="1">
      <c r="A953" s="8"/>
      <c r="B953" s="278"/>
      <c r="C953" s="8"/>
      <c r="D953" s="278"/>
      <c r="E953" s="278"/>
      <c r="F953" s="278"/>
      <c r="G953" s="278"/>
      <c r="H953" s="278"/>
      <c r="I953" s="27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278"/>
      <c r="AC953" s="8"/>
      <c r="AD953" s="8"/>
      <c r="AE953" s="8"/>
    </row>
    <row r="954" ht="13.5" customHeight="1">
      <c r="A954" s="8"/>
      <c r="B954" s="278"/>
      <c r="C954" s="8"/>
      <c r="D954" s="278"/>
      <c r="E954" s="278"/>
      <c r="F954" s="278"/>
      <c r="G954" s="278"/>
      <c r="H954" s="278"/>
      <c r="I954" s="27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278"/>
      <c r="AC954" s="8"/>
      <c r="AD954" s="8"/>
      <c r="AE954" s="8"/>
    </row>
    <row r="955" ht="13.5" customHeight="1">
      <c r="A955" s="8"/>
      <c r="B955" s="278"/>
      <c r="C955" s="8"/>
      <c r="D955" s="278"/>
      <c r="E955" s="278"/>
      <c r="F955" s="278"/>
      <c r="G955" s="278"/>
      <c r="H955" s="278"/>
      <c r="I955" s="27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278"/>
      <c r="AC955" s="8"/>
      <c r="AD955" s="8"/>
      <c r="AE955" s="8"/>
    </row>
    <row r="956" ht="13.5" customHeight="1">
      <c r="A956" s="8"/>
      <c r="B956" s="278"/>
      <c r="C956" s="8"/>
      <c r="D956" s="278"/>
      <c r="E956" s="278"/>
      <c r="F956" s="278"/>
      <c r="G956" s="278"/>
      <c r="H956" s="278"/>
      <c r="I956" s="27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278"/>
      <c r="AC956" s="8"/>
      <c r="AD956" s="8"/>
      <c r="AE956" s="8"/>
    </row>
    <row r="957" ht="13.5" customHeight="1">
      <c r="A957" s="8"/>
      <c r="B957" s="278"/>
      <c r="C957" s="8"/>
      <c r="D957" s="278"/>
      <c r="E957" s="278"/>
      <c r="F957" s="278"/>
      <c r="G957" s="278"/>
      <c r="H957" s="278"/>
      <c r="I957" s="27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278"/>
      <c r="AC957" s="8"/>
      <c r="AD957" s="8"/>
      <c r="AE957" s="8"/>
    </row>
    <row r="958" ht="13.5" customHeight="1">
      <c r="A958" s="8"/>
      <c r="B958" s="278"/>
      <c r="C958" s="8"/>
      <c r="D958" s="278"/>
      <c r="E958" s="278"/>
      <c r="F958" s="278"/>
      <c r="G958" s="278"/>
      <c r="H958" s="278"/>
      <c r="I958" s="27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278"/>
      <c r="AC958" s="8"/>
      <c r="AD958" s="8"/>
      <c r="AE958" s="8"/>
    </row>
    <row r="959" ht="13.5" customHeight="1">
      <c r="A959" s="8"/>
      <c r="B959" s="278"/>
      <c r="C959" s="8"/>
      <c r="D959" s="278"/>
      <c r="E959" s="278"/>
      <c r="F959" s="278"/>
      <c r="G959" s="278"/>
      <c r="H959" s="278"/>
      <c r="I959" s="27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278"/>
      <c r="AC959" s="8"/>
      <c r="AD959" s="8"/>
      <c r="AE959" s="8"/>
    </row>
    <row r="960" ht="13.5" customHeight="1">
      <c r="A960" s="8"/>
      <c r="B960" s="278"/>
      <c r="C960" s="8"/>
      <c r="D960" s="278"/>
      <c r="E960" s="278"/>
      <c r="F960" s="278"/>
      <c r="G960" s="278"/>
      <c r="H960" s="278"/>
      <c r="I960" s="27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278"/>
      <c r="AC960" s="8"/>
      <c r="AD960" s="8"/>
      <c r="AE960" s="8"/>
    </row>
    <row r="961" ht="13.5" customHeight="1">
      <c r="A961" s="8"/>
      <c r="B961" s="278"/>
      <c r="C961" s="8"/>
      <c r="D961" s="278"/>
      <c r="E961" s="278"/>
      <c r="F961" s="278"/>
      <c r="G961" s="278"/>
      <c r="H961" s="278"/>
      <c r="I961" s="27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278"/>
      <c r="AC961" s="8"/>
      <c r="AD961" s="8"/>
      <c r="AE961" s="8"/>
    </row>
    <row r="962" ht="13.5" customHeight="1">
      <c r="A962" s="8"/>
      <c r="B962" s="278"/>
      <c r="C962" s="8"/>
      <c r="D962" s="278"/>
      <c r="E962" s="278"/>
      <c r="F962" s="278"/>
      <c r="G962" s="278"/>
      <c r="H962" s="278"/>
      <c r="I962" s="27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278"/>
      <c r="AC962" s="8"/>
      <c r="AD962" s="8"/>
      <c r="AE962" s="8"/>
    </row>
    <row r="963" ht="13.5" customHeight="1">
      <c r="A963" s="8"/>
      <c r="B963" s="278"/>
      <c r="C963" s="8"/>
      <c r="D963" s="278"/>
      <c r="E963" s="278"/>
      <c r="F963" s="278"/>
      <c r="G963" s="278"/>
      <c r="H963" s="278"/>
      <c r="I963" s="27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278"/>
      <c r="AC963" s="8"/>
      <c r="AD963" s="8"/>
      <c r="AE963" s="8"/>
    </row>
    <row r="964" ht="13.5" customHeight="1">
      <c r="A964" s="8"/>
      <c r="B964" s="278"/>
      <c r="C964" s="8"/>
      <c r="D964" s="278"/>
      <c r="E964" s="278"/>
      <c r="F964" s="278"/>
      <c r="G964" s="278"/>
      <c r="H964" s="278"/>
      <c r="I964" s="27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278"/>
      <c r="AC964" s="8"/>
      <c r="AD964" s="8"/>
      <c r="AE964" s="8"/>
    </row>
    <row r="965" ht="13.5" customHeight="1">
      <c r="A965" s="8"/>
      <c r="B965" s="278"/>
      <c r="C965" s="8"/>
      <c r="D965" s="278"/>
      <c r="E965" s="278"/>
      <c r="F965" s="278"/>
      <c r="G965" s="278"/>
      <c r="H965" s="278"/>
      <c r="I965" s="27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278"/>
      <c r="AC965" s="8"/>
      <c r="AD965" s="8"/>
      <c r="AE965" s="8"/>
    </row>
    <row r="966" ht="13.5" customHeight="1">
      <c r="A966" s="8"/>
      <c r="B966" s="278"/>
      <c r="C966" s="8"/>
      <c r="D966" s="278"/>
      <c r="E966" s="278"/>
      <c r="F966" s="278"/>
      <c r="G966" s="278"/>
      <c r="H966" s="278"/>
      <c r="I966" s="27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278"/>
      <c r="AC966" s="8"/>
      <c r="AD966" s="8"/>
      <c r="AE966" s="8"/>
    </row>
    <row r="967" ht="13.5" customHeight="1">
      <c r="A967" s="8"/>
      <c r="B967" s="278"/>
      <c r="C967" s="8"/>
      <c r="D967" s="278"/>
      <c r="E967" s="278"/>
      <c r="F967" s="278"/>
      <c r="G967" s="278"/>
      <c r="H967" s="278"/>
      <c r="I967" s="27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278"/>
      <c r="AC967" s="8"/>
      <c r="AD967" s="8"/>
      <c r="AE967" s="8"/>
    </row>
    <row r="968" ht="13.5" customHeight="1">
      <c r="A968" s="8"/>
      <c r="B968" s="278"/>
      <c r="C968" s="8"/>
      <c r="D968" s="278"/>
      <c r="E968" s="278"/>
      <c r="F968" s="278"/>
      <c r="G968" s="278"/>
      <c r="H968" s="278"/>
      <c r="I968" s="27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278"/>
      <c r="AC968" s="8"/>
      <c r="AD968" s="8"/>
      <c r="AE968" s="8"/>
    </row>
    <row r="969" ht="13.5" customHeight="1">
      <c r="A969" s="8"/>
      <c r="B969" s="278"/>
      <c r="C969" s="8"/>
      <c r="D969" s="278"/>
      <c r="E969" s="278"/>
      <c r="F969" s="278"/>
      <c r="G969" s="278"/>
      <c r="H969" s="278"/>
      <c r="I969" s="27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278"/>
      <c r="AC969" s="8"/>
      <c r="AD969" s="8"/>
      <c r="AE969" s="8"/>
    </row>
    <row r="970" ht="13.5" customHeight="1">
      <c r="A970" s="8"/>
      <c r="B970" s="278"/>
      <c r="C970" s="8"/>
      <c r="D970" s="278"/>
      <c r="E970" s="278"/>
      <c r="F970" s="278"/>
      <c r="G970" s="278"/>
      <c r="H970" s="278"/>
      <c r="I970" s="27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278"/>
      <c r="AC970" s="8"/>
      <c r="AD970" s="8"/>
      <c r="AE970" s="8"/>
    </row>
    <row r="971" ht="13.5" customHeight="1">
      <c r="A971" s="8"/>
      <c r="B971" s="278"/>
      <c r="C971" s="8"/>
      <c r="D971" s="278"/>
      <c r="E971" s="278"/>
      <c r="F971" s="278"/>
      <c r="G971" s="278"/>
      <c r="H971" s="278"/>
      <c r="I971" s="27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278"/>
      <c r="AC971" s="8"/>
      <c r="AD971" s="8"/>
      <c r="AE971" s="8"/>
    </row>
    <row r="972" ht="13.5" customHeight="1">
      <c r="A972" s="8"/>
      <c r="B972" s="278"/>
      <c r="C972" s="8"/>
      <c r="D972" s="278"/>
      <c r="E972" s="278"/>
      <c r="F972" s="278"/>
      <c r="G972" s="278"/>
      <c r="H972" s="278"/>
      <c r="I972" s="27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278"/>
      <c r="AC972" s="8"/>
      <c r="AD972" s="8"/>
      <c r="AE972" s="8"/>
    </row>
    <row r="973" ht="13.5" customHeight="1">
      <c r="A973" s="8"/>
      <c r="B973" s="278"/>
      <c r="C973" s="8"/>
      <c r="D973" s="278"/>
      <c r="E973" s="278"/>
      <c r="F973" s="278"/>
      <c r="G973" s="278"/>
      <c r="H973" s="278"/>
      <c r="I973" s="27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278"/>
      <c r="AC973" s="8"/>
      <c r="AD973" s="8"/>
      <c r="AE973" s="8"/>
    </row>
    <row r="974" ht="13.5" customHeight="1">
      <c r="A974" s="8"/>
      <c r="B974" s="278"/>
      <c r="C974" s="8"/>
      <c r="D974" s="278"/>
      <c r="E974" s="278"/>
      <c r="F974" s="278"/>
      <c r="G974" s="278"/>
      <c r="H974" s="278"/>
      <c r="I974" s="27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278"/>
      <c r="AC974" s="8"/>
      <c r="AD974" s="8"/>
      <c r="AE974" s="8"/>
    </row>
    <row r="975" ht="13.5" customHeight="1">
      <c r="A975" s="8"/>
      <c r="B975" s="278"/>
      <c r="C975" s="8"/>
      <c r="D975" s="278"/>
      <c r="E975" s="278"/>
      <c r="F975" s="278"/>
      <c r="G975" s="278"/>
      <c r="H975" s="278"/>
      <c r="I975" s="27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278"/>
      <c r="AC975" s="8"/>
      <c r="AD975" s="8"/>
      <c r="AE975" s="8"/>
    </row>
    <row r="976" ht="13.5" customHeight="1">
      <c r="A976" s="8"/>
      <c r="B976" s="278"/>
      <c r="C976" s="8"/>
      <c r="D976" s="278"/>
      <c r="E976" s="278"/>
      <c r="F976" s="278"/>
      <c r="G976" s="278"/>
      <c r="H976" s="278"/>
      <c r="I976" s="27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278"/>
      <c r="AC976" s="8"/>
      <c r="AD976" s="8"/>
      <c r="AE976" s="8"/>
    </row>
    <row r="977" ht="13.5" customHeight="1">
      <c r="A977" s="8"/>
      <c r="B977" s="278"/>
      <c r="C977" s="8"/>
      <c r="D977" s="278"/>
      <c r="E977" s="278"/>
      <c r="F977" s="278"/>
      <c r="G977" s="278"/>
      <c r="H977" s="278"/>
      <c r="I977" s="27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278"/>
      <c r="AC977" s="8"/>
      <c r="AD977" s="8"/>
      <c r="AE977" s="8"/>
    </row>
    <row r="978" ht="13.5" customHeight="1">
      <c r="A978" s="8"/>
      <c r="B978" s="278"/>
      <c r="C978" s="8"/>
      <c r="D978" s="278"/>
      <c r="E978" s="278"/>
      <c r="F978" s="278"/>
      <c r="G978" s="278"/>
      <c r="H978" s="278"/>
      <c r="I978" s="27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278"/>
      <c r="AC978" s="8"/>
      <c r="AD978" s="8"/>
      <c r="AE978" s="8"/>
    </row>
    <row r="979" ht="13.5" customHeight="1">
      <c r="A979" s="8"/>
      <c r="B979" s="278"/>
      <c r="C979" s="8"/>
      <c r="D979" s="278"/>
      <c r="E979" s="278"/>
      <c r="F979" s="278"/>
      <c r="G979" s="278"/>
      <c r="H979" s="278"/>
      <c r="I979" s="27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278"/>
      <c r="AC979" s="8"/>
      <c r="AD979" s="8"/>
      <c r="AE979" s="8"/>
    </row>
    <row r="980" ht="13.5" customHeight="1">
      <c r="A980" s="8"/>
      <c r="B980" s="278"/>
      <c r="C980" s="8"/>
      <c r="D980" s="278"/>
      <c r="E980" s="278"/>
      <c r="F980" s="278"/>
      <c r="G980" s="278"/>
      <c r="H980" s="278"/>
      <c r="I980" s="27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278"/>
      <c r="AC980" s="8"/>
      <c r="AD980" s="8"/>
      <c r="AE980" s="8"/>
    </row>
    <row r="981" ht="13.5" customHeight="1">
      <c r="A981" s="8"/>
      <c r="B981" s="278"/>
      <c r="C981" s="8"/>
      <c r="D981" s="278"/>
      <c r="E981" s="278"/>
      <c r="F981" s="278"/>
      <c r="G981" s="278"/>
      <c r="H981" s="278"/>
      <c r="I981" s="27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278"/>
      <c r="AC981" s="8"/>
      <c r="AD981" s="8"/>
      <c r="AE981" s="8"/>
    </row>
    <row r="982" ht="13.5" customHeight="1">
      <c r="A982" s="8"/>
      <c r="B982" s="278"/>
      <c r="C982" s="8"/>
      <c r="D982" s="278"/>
      <c r="E982" s="278"/>
      <c r="F982" s="278"/>
      <c r="G982" s="278"/>
      <c r="H982" s="278"/>
      <c r="I982" s="27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278"/>
      <c r="AC982" s="8"/>
      <c r="AD982" s="8"/>
      <c r="AE982" s="8"/>
    </row>
    <row r="983" ht="13.5" customHeight="1">
      <c r="A983" s="8"/>
      <c r="B983" s="278"/>
      <c r="C983" s="8"/>
      <c r="D983" s="278"/>
      <c r="E983" s="278"/>
      <c r="F983" s="278"/>
      <c r="G983" s="278"/>
      <c r="H983" s="278"/>
      <c r="I983" s="27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278"/>
      <c r="AC983" s="8"/>
      <c r="AD983" s="8"/>
      <c r="AE983" s="8"/>
    </row>
    <row r="984" ht="13.5" customHeight="1">
      <c r="A984" s="8"/>
      <c r="B984" s="278"/>
      <c r="C984" s="8"/>
      <c r="D984" s="278"/>
      <c r="E984" s="278"/>
      <c r="F984" s="278"/>
      <c r="G984" s="278"/>
      <c r="H984" s="278"/>
      <c r="I984" s="27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278"/>
      <c r="AC984" s="8"/>
      <c r="AD984" s="8"/>
      <c r="AE984" s="8"/>
    </row>
    <row r="985" ht="13.5" customHeight="1">
      <c r="A985" s="8"/>
      <c r="B985" s="278"/>
      <c r="C985" s="8"/>
      <c r="D985" s="278"/>
      <c r="E985" s="278"/>
      <c r="F985" s="278"/>
      <c r="G985" s="278"/>
      <c r="H985" s="278"/>
      <c r="I985" s="27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278"/>
      <c r="AC985" s="8"/>
      <c r="AD985" s="8"/>
      <c r="AE985" s="8"/>
    </row>
    <row r="986" ht="13.5" customHeight="1">
      <c r="A986" s="8"/>
      <c r="B986" s="278"/>
      <c r="C986" s="8"/>
      <c r="D986" s="278"/>
      <c r="E986" s="278"/>
      <c r="F986" s="278"/>
      <c r="G986" s="278"/>
      <c r="H986" s="278"/>
      <c r="I986" s="27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278"/>
      <c r="AC986" s="8"/>
      <c r="AD986" s="8"/>
      <c r="AE986" s="8"/>
    </row>
    <row r="987" ht="13.5" customHeight="1">
      <c r="A987" s="8"/>
      <c r="B987" s="278"/>
      <c r="C987" s="8"/>
      <c r="D987" s="278"/>
      <c r="E987" s="278"/>
      <c r="F987" s="278"/>
      <c r="G987" s="278"/>
      <c r="H987" s="278"/>
      <c r="I987" s="27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278"/>
      <c r="AC987" s="8"/>
      <c r="AD987" s="8"/>
      <c r="AE987" s="8"/>
    </row>
    <row r="988" ht="13.5" customHeight="1">
      <c r="A988" s="8"/>
      <c r="B988" s="278"/>
      <c r="C988" s="8"/>
      <c r="D988" s="278"/>
      <c r="E988" s="278"/>
      <c r="F988" s="278"/>
      <c r="G988" s="278"/>
      <c r="H988" s="278"/>
      <c r="I988" s="27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278"/>
      <c r="AC988" s="8"/>
      <c r="AD988" s="8"/>
      <c r="AE988" s="8"/>
    </row>
    <row r="989" ht="13.5" customHeight="1">
      <c r="A989" s="8"/>
      <c r="B989" s="278"/>
      <c r="C989" s="8"/>
      <c r="D989" s="278"/>
      <c r="E989" s="278"/>
      <c r="F989" s="278"/>
      <c r="G989" s="278"/>
      <c r="H989" s="278"/>
      <c r="I989" s="27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278"/>
      <c r="AC989" s="8"/>
      <c r="AD989" s="8"/>
      <c r="AE989" s="8"/>
    </row>
    <row r="990" ht="13.5" customHeight="1">
      <c r="A990" s="8"/>
      <c r="B990" s="278"/>
      <c r="C990" s="8"/>
      <c r="D990" s="278"/>
      <c r="E990" s="278"/>
      <c r="F990" s="278"/>
      <c r="G990" s="278"/>
      <c r="H990" s="278"/>
      <c r="I990" s="27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278"/>
      <c r="AC990" s="8"/>
      <c r="AD990" s="8"/>
      <c r="AE990" s="8"/>
    </row>
    <row r="991" ht="13.5" customHeight="1">
      <c r="A991" s="8"/>
      <c r="B991" s="278"/>
      <c r="C991" s="8"/>
      <c r="D991" s="278"/>
      <c r="E991" s="278"/>
      <c r="F991" s="278"/>
      <c r="G991" s="278"/>
      <c r="H991" s="278"/>
      <c r="I991" s="27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278"/>
      <c r="AC991" s="8"/>
      <c r="AD991" s="8"/>
      <c r="AE991" s="8"/>
    </row>
    <row r="992" ht="13.5" customHeight="1">
      <c r="A992" s="8"/>
      <c r="B992" s="278"/>
      <c r="C992" s="8"/>
      <c r="D992" s="278"/>
      <c r="E992" s="278"/>
      <c r="F992" s="278"/>
      <c r="G992" s="278"/>
      <c r="H992" s="278"/>
      <c r="I992" s="27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278"/>
      <c r="AC992" s="8"/>
      <c r="AD992" s="8"/>
      <c r="AE992" s="8"/>
    </row>
    <row r="993" ht="13.5" customHeight="1">
      <c r="A993" s="8"/>
      <c r="B993" s="278"/>
      <c r="C993" s="8"/>
      <c r="D993" s="278"/>
      <c r="E993" s="278"/>
      <c r="F993" s="278"/>
      <c r="G993" s="278"/>
      <c r="H993" s="278"/>
      <c r="I993" s="27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278"/>
      <c r="AC993" s="8"/>
      <c r="AD993" s="8"/>
      <c r="AE993" s="8"/>
    </row>
    <row r="994" ht="13.5" customHeight="1">
      <c r="A994" s="8"/>
      <c r="B994" s="278"/>
      <c r="C994" s="8"/>
      <c r="D994" s="278"/>
      <c r="E994" s="278"/>
      <c r="F994" s="278"/>
      <c r="G994" s="278"/>
      <c r="H994" s="278"/>
      <c r="I994" s="27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278"/>
      <c r="AC994" s="8"/>
      <c r="AD994" s="8"/>
      <c r="AE994" s="8"/>
    </row>
    <row r="995" ht="13.5" customHeight="1">
      <c r="A995" s="8"/>
      <c r="B995" s="278"/>
      <c r="C995" s="8"/>
      <c r="D995" s="278"/>
      <c r="E995" s="278"/>
      <c r="F995" s="278"/>
      <c r="G995" s="278"/>
      <c r="H995" s="278"/>
      <c r="I995" s="27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278"/>
      <c r="AC995" s="8"/>
      <c r="AD995" s="8"/>
      <c r="AE995" s="8"/>
    </row>
    <row r="996" ht="13.5" customHeight="1">
      <c r="A996" s="8"/>
      <c r="B996" s="278"/>
      <c r="C996" s="8"/>
      <c r="D996" s="278"/>
      <c r="E996" s="278"/>
      <c r="F996" s="278"/>
      <c r="G996" s="278"/>
      <c r="H996" s="278"/>
      <c r="I996" s="27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278"/>
      <c r="AC996" s="8"/>
      <c r="AD996" s="8"/>
      <c r="AE996" s="8"/>
    </row>
    <row r="997" ht="13.5" customHeight="1">
      <c r="A997" s="8"/>
      <c r="B997" s="278"/>
      <c r="C997" s="8"/>
      <c r="D997" s="278"/>
      <c r="E997" s="278"/>
      <c r="F997" s="278"/>
      <c r="G997" s="278"/>
      <c r="H997" s="278"/>
      <c r="I997" s="27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278"/>
      <c r="AC997" s="8"/>
      <c r="AD997" s="8"/>
      <c r="AE997" s="8"/>
    </row>
    <row r="998" ht="13.5" customHeight="1">
      <c r="A998" s="8"/>
      <c r="B998" s="278"/>
      <c r="C998" s="8"/>
      <c r="D998" s="278"/>
      <c r="E998" s="278"/>
      <c r="F998" s="278"/>
      <c r="G998" s="278"/>
      <c r="H998" s="278"/>
      <c r="I998" s="27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278"/>
      <c r="AC998" s="8"/>
      <c r="AD998" s="8"/>
      <c r="AE998" s="8"/>
    </row>
    <row r="999" ht="13.5" customHeight="1">
      <c r="A999" s="8"/>
      <c r="B999" s="278"/>
      <c r="C999" s="8"/>
      <c r="D999" s="278"/>
      <c r="E999" s="278"/>
      <c r="F999" s="278"/>
      <c r="G999" s="278"/>
      <c r="H999" s="278"/>
      <c r="I999" s="27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278"/>
      <c r="AC999" s="8"/>
      <c r="AD999" s="8"/>
      <c r="AE999" s="8"/>
    </row>
    <row r="1000" ht="13.5" customHeight="1">
      <c r="A1000" s="8"/>
      <c r="B1000" s="278"/>
      <c r="C1000" s="8"/>
      <c r="D1000" s="278"/>
      <c r="E1000" s="278"/>
      <c r="F1000" s="278"/>
      <c r="G1000" s="278"/>
      <c r="H1000" s="278"/>
      <c r="I1000" s="27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278"/>
      <c r="AC1000" s="8"/>
      <c r="AD1000" s="8"/>
      <c r="AE1000" s="8"/>
    </row>
  </sheetData>
  <mergeCells count="3">
    <mergeCell ref="AC4:AD4"/>
    <mergeCell ref="A21:A24"/>
    <mergeCell ref="B21:B24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3" width="8.71"/>
    <col customWidth="1" min="4" max="4" width="18.14"/>
    <col customWidth="1" min="5" max="5" width="8.71"/>
    <col customWidth="1" min="6" max="6" width="10.0"/>
    <col customWidth="1" min="7" max="17" width="8.71"/>
    <col customWidth="1" min="18" max="18" width="9.29"/>
    <col customWidth="1" min="19" max="19" width="8.71"/>
    <col customWidth="1" min="20" max="20" width="10.14"/>
    <col customWidth="1" min="21" max="29" width="8.71"/>
    <col customWidth="1" min="30" max="30" width="9.29"/>
    <col customWidth="1" min="31" max="31" width="11.71"/>
    <col customWidth="1" min="32" max="32" width="13.29"/>
    <col customWidth="1" min="33" max="33" width="8.71"/>
  </cols>
  <sheetData>
    <row r="1" ht="24.0" customHeight="1">
      <c r="A1" s="209" t="s">
        <v>280</v>
      </c>
      <c r="B1" s="210"/>
      <c r="C1" s="210"/>
      <c r="D1" s="211"/>
      <c r="E1" s="210"/>
      <c r="F1" s="279" t="s">
        <v>380</v>
      </c>
      <c r="G1" s="280"/>
      <c r="H1" s="281" t="s">
        <v>381</v>
      </c>
      <c r="I1" s="210"/>
      <c r="J1" s="210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04"/>
      <c r="AB1" s="204"/>
      <c r="AC1" s="211"/>
      <c r="AD1" s="210"/>
      <c r="AE1" s="211"/>
      <c r="AF1" s="211"/>
      <c r="AG1" s="8"/>
    </row>
    <row r="2" ht="6.75" customHeight="1">
      <c r="A2" s="211"/>
      <c r="B2" s="210"/>
      <c r="C2" s="210"/>
      <c r="D2" s="211"/>
      <c r="E2" s="210"/>
      <c r="F2" s="210"/>
      <c r="G2" s="210"/>
      <c r="H2" s="210"/>
      <c r="I2" s="210"/>
      <c r="J2" s="210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0"/>
      <c r="AE2" s="211"/>
      <c r="AF2" s="211"/>
      <c r="AG2" s="8"/>
    </row>
    <row r="3" ht="13.5" customHeight="1">
      <c r="A3" s="214" t="s">
        <v>282</v>
      </c>
      <c r="B3" s="215"/>
      <c r="C3" s="215"/>
      <c r="D3" s="216"/>
      <c r="E3" s="215"/>
      <c r="F3" s="215"/>
      <c r="G3" s="215"/>
      <c r="H3" s="215"/>
      <c r="I3" s="215"/>
      <c r="J3" s="215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5"/>
      <c r="AE3" s="216"/>
      <c r="AF3" s="216"/>
      <c r="AG3" s="8"/>
    </row>
    <row r="4" ht="13.5" customHeight="1">
      <c r="A4" s="217" t="s">
        <v>283</v>
      </c>
      <c r="B4" s="218" t="s">
        <v>284</v>
      </c>
      <c r="C4" s="218" t="s">
        <v>382</v>
      </c>
      <c r="D4" s="218" t="s">
        <v>285</v>
      </c>
      <c r="E4" s="218" t="s">
        <v>286</v>
      </c>
      <c r="F4" s="218" t="s">
        <v>287</v>
      </c>
      <c r="G4" s="218" t="s">
        <v>383</v>
      </c>
      <c r="H4" s="218" t="s">
        <v>384</v>
      </c>
      <c r="I4" s="218" t="s">
        <v>385</v>
      </c>
      <c r="J4" s="218" t="s">
        <v>386</v>
      </c>
      <c r="K4" s="282" t="s">
        <v>387</v>
      </c>
      <c r="L4" s="30"/>
      <c r="M4" s="31"/>
      <c r="N4" s="218" t="s">
        <v>388</v>
      </c>
      <c r="O4" s="218" t="s">
        <v>389</v>
      </c>
      <c r="P4" s="218" t="s">
        <v>390</v>
      </c>
      <c r="Q4" s="218" t="s">
        <v>391</v>
      </c>
      <c r="R4" s="218" t="s">
        <v>296</v>
      </c>
      <c r="S4" s="218" t="s">
        <v>299</v>
      </c>
      <c r="T4" s="218" t="s">
        <v>41</v>
      </c>
      <c r="U4" s="218" t="s">
        <v>299</v>
      </c>
      <c r="V4" s="218" t="s">
        <v>43</v>
      </c>
      <c r="W4" s="218" t="s">
        <v>44</v>
      </c>
      <c r="X4" s="218" t="s">
        <v>298</v>
      </c>
      <c r="Y4" s="282" t="s">
        <v>301</v>
      </c>
      <c r="Z4" s="30"/>
      <c r="AA4" s="30"/>
      <c r="AB4" s="30"/>
      <c r="AC4" s="31"/>
      <c r="AD4" s="218" t="s">
        <v>392</v>
      </c>
      <c r="AE4" s="283" t="s">
        <v>303</v>
      </c>
      <c r="AF4" s="30"/>
      <c r="AG4" s="284" t="s">
        <v>393</v>
      </c>
    </row>
    <row r="5" ht="18.75" customHeight="1">
      <c r="A5" s="224"/>
      <c r="B5" s="218"/>
      <c r="C5" s="218"/>
      <c r="D5" s="226" t="s">
        <v>305</v>
      </c>
      <c r="E5" s="226" t="s">
        <v>306</v>
      </c>
      <c r="F5" s="226" t="s">
        <v>307</v>
      </c>
      <c r="G5" s="226" t="s">
        <v>308</v>
      </c>
      <c r="H5" s="226" t="s">
        <v>308</v>
      </c>
      <c r="I5" s="226" t="s">
        <v>308</v>
      </c>
      <c r="J5" s="226" t="s">
        <v>309</v>
      </c>
      <c r="K5" s="226" t="s">
        <v>394</v>
      </c>
      <c r="L5" s="226" t="s">
        <v>395</v>
      </c>
      <c r="M5" s="226" t="s">
        <v>289</v>
      </c>
      <c r="N5" s="226" t="s">
        <v>396</v>
      </c>
      <c r="O5" s="226" t="s">
        <v>313</v>
      </c>
      <c r="P5" s="226"/>
      <c r="Q5" s="226" t="s">
        <v>306</v>
      </c>
      <c r="R5" s="226" t="s">
        <v>315</v>
      </c>
      <c r="S5" s="226" t="s">
        <v>317</v>
      </c>
      <c r="T5" s="226" t="s">
        <v>316</v>
      </c>
      <c r="U5" s="226" t="s">
        <v>317</v>
      </c>
      <c r="V5" s="226" t="s">
        <v>58</v>
      </c>
      <c r="W5" s="226" t="s">
        <v>59</v>
      </c>
      <c r="X5" s="226" t="s">
        <v>57</v>
      </c>
      <c r="Y5" s="226" t="s">
        <v>318</v>
      </c>
      <c r="Z5" s="226" t="s">
        <v>319</v>
      </c>
      <c r="AA5" s="226" t="s">
        <v>320</v>
      </c>
      <c r="AB5" s="226" t="s">
        <v>321</v>
      </c>
      <c r="AC5" s="226" t="s">
        <v>322</v>
      </c>
      <c r="AD5" s="228"/>
      <c r="AE5" s="228" t="s">
        <v>324</v>
      </c>
      <c r="AF5" s="285" t="s">
        <v>325</v>
      </c>
      <c r="AG5" s="286" t="s">
        <v>393</v>
      </c>
    </row>
    <row r="6" ht="13.5" customHeight="1">
      <c r="A6" s="217" t="s">
        <v>397</v>
      </c>
      <c r="B6" s="287" t="s">
        <v>326</v>
      </c>
      <c r="C6" s="288" t="s">
        <v>398</v>
      </c>
      <c r="D6" s="237" t="s">
        <v>112</v>
      </c>
      <c r="E6" s="232" t="s">
        <v>327</v>
      </c>
      <c r="F6" s="232" t="s">
        <v>76</v>
      </c>
      <c r="G6" s="232">
        <v>177.0</v>
      </c>
      <c r="H6" s="232">
        <v>40.0</v>
      </c>
      <c r="I6" s="232">
        <v>54.4</v>
      </c>
      <c r="J6" s="232">
        <v>493.0</v>
      </c>
      <c r="K6" s="289">
        <v>440.0</v>
      </c>
      <c r="L6" s="289">
        <v>110.0</v>
      </c>
      <c r="M6" s="289">
        <v>120.0</v>
      </c>
      <c r="N6" s="289">
        <v>1.476</v>
      </c>
      <c r="O6" s="233" t="s">
        <v>328</v>
      </c>
      <c r="P6" s="232">
        <v>1.0</v>
      </c>
      <c r="Q6" s="232" t="s">
        <v>327</v>
      </c>
      <c r="R6" s="232">
        <v>6.0</v>
      </c>
      <c r="S6" s="232">
        <v>12.0</v>
      </c>
      <c r="T6" s="232">
        <v>30.0</v>
      </c>
      <c r="U6" s="232">
        <v>12.0</v>
      </c>
      <c r="V6" s="236">
        <v>2650.0</v>
      </c>
      <c r="W6" s="236">
        <v>99600.0</v>
      </c>
      <c r="X6" s="235" t="s">
        <v>399</v>
      </c>
      <c r="Y6" s="233" t="s">
        <v>328</v>
      </c>
      <c r="Z6" s="234"/>
      <c r="AA6" s="232" t="s">
        <v>329</v>
      </c>
      <c r="AB6" s="232">
        <v>67.0</v>
      </c>
      <c r="AC6" s="233" t="s">
        <v>328</v>
      </c>
      <c r="AD6" s="232" t="s">
        <v>115</v>
      </c>
      <c r="AE6" s="232" t="s">
        <v>330</v>
      </c>
      <c r="AF6" s="290" t="s">
        <v>331</v>
      </c>
      <c r="AG6" s="286" t="s">
        <v>400</v>
      </c>
    </row>
    <row r="7" ht="13.5" customHeight="1">
      <c r="A7" s="291" t="s">
        <v>397</v>
      </c>
      <c r="B7" s="230" t="s">
        <v>326</v>
      </c>
      <c r="C7" s="230" t="s">
        <v>398</v>
      </c>
      <c r="D7" s="237" t="s">
        <v>116</v>
      </c>
      <c r="E7" s="232" t="s">
        <v>401</v>
      </c>
      <c r="F7" s="232" t="s">
        <v>119</v>
      </c>
      <c r="G7" s="232">
        <v>246.0</v>
      </c>
      <c r="H7" s="232">
        <v>40.0</v>
      </c>
      <c r="I7" s="232">
        <v>54.4</v>
      </c>
      <c r="J7" s="232">
        <v>640.0</v>
      </c>
      <c r="K7" s="289"/>
      <c r="L7" s="289">
        <v>110.0</v>
      </c>
      <c r="M7" s="289">
        <v>120.0</v>
      </c>
      <c r="N7" s="289"/>
      <c r="O7" s="233" t="s">
        <v>328</v>
      </c>
      <c r="P7" s="232">
        <v>1.0</v>
      </c>
      <c r="Q7" s="232" t="s">
        <v>333</v>
      </c>
      <c r="R7" s="232">
        <v>9.0</v>
      </c>
      <c r="S7" s="232">
        <v>12.0</v>
      </c>
      <c r="T7" s="232">
        <v>45.0</v>
      </c>
      <c r="U7" s="232">
        <v>12.0</v>
      </c>
      <c r="V7" s="236">
        <v>4000.0</v>
      </c>
      <c r="W7" s="236">
        <v>112400.0</v>
      </c>
      <c r="X7" s="235" t="s">
        <v>399</v>
      </c>
      <c r="Y7" s="233" t="s">
        <v>328</v>
      </c>
      <c r="Z7" s="234"/>
      <c r="AA7" s="232" t="s">
        <v>329</v>
      </c>
      <c r="AB7" s="232">
        <v>67.0</v>
      </c>
      <c r="AC7" s="233" t="s">
        <v>328</v>
      </c>
      <c r="AD7" s="232" t="s">
        <v>115</v>
      </c>
      <c r="AE7" s="232" t="s">
        <v>330</v>
      </c>
      <c r="AF7" s="290" t="s">
        <v>331</v>
      </c>
      <c r="AG7" s="292" t="s">
        <v>400</v>
      </c>
    </row>
    <row r="8" ht="13.5" customHeight="1">
      <c r="A8" s="217" t="s">
        <v>397</v>
      </c>
      <c r="B8" s="287" t="s">
        <v>326</v>
      </c>
      <c r="C8" s="288" t="s">
        <v>402</v>
      </c>
      <c r="D8" s="237" t="s">
        <v>120</v>
      </c>
      <c r="E8" s="232" t="s">
        <v>334</v>
      </c>
      <c r="F8" s="232" t="s">
        <v>119</v>
      </c>
      <c r="G8" s="232">
        <v>522.0</v>
      </c>
      <c r="H8" s="232">
        <v>40.0</v>
      </c>
      <c r="I8" s="232">
        <v>54.4</v>
      </c>
      <c r="J8" s="236">
        <v>1265.0</v>
      </c>
      <c r="K8" s="289">
        <v>782.0</v>
      </c>
      <c r="L8" s="289">
        <v>110.0</v>
      </c>
      <c r="M8" s="289">
        <v>120.0</v>
      </c>
      <c r="N8" s="289">
        <v>2.322</v>
      </c>
      <c r="O8" s="233" t="s">
        <v>328</v>
      </c>
      <c r="P8" s="232">
        <v>1.0</v>
      </c>
      <c r="Q8" s="232" t="s">
        <v>334</v>
      </c>
      <c r="R8" s="232">
        <v>21.0</v>
      </c>
      <c r="S8" s="232">
        <v>12.0</v>
      </c>
      <c r="T8" s="232">
        <v>105.0</v>
      </c>
      <c r="U8" s="232">
        <v>12.0</v>
      </c>
      <c r="V8" s="236">
        <v>9250.0</v>
      </c>
      <c r="W8" s="236">
        <v>233000.0</v>
      </c>
      <c r="X8" s="235" t="s">
        <v>399</v>
      </c>
      <c r="Y8" s="233" t="s">
        <v>328</v>
      </c>
      <c r="Z8" s="234"/>
      <c r="AA8" s="232" t="s">
        <v>329</v>
      </c>
      <c r="AB8" s="232">
        <v>67.0</v>
      </c>
      <c r="AC8" s="233" t="s">
        <v>328</v>
      </c>
      <c r="AD8" s="232" t="s">
        <v>115</v>
      </c>
      <c r="AE8" s="232" t="s">
        <v>330</v>
      </c>
      <c r="AF8" s="290" t="s">
        <v>331</v>
      </c>
      <c r="AG8" s="286" t="s">
        <v>400</v>
      </c>
    </row>
    <row r="9" ht="13.5" customHeight="1">
      <c r="A9" s="291" t="s">
        <v>397</v>
      </c>
      <c r="B9" s="230" t="s">
        <v>326</v>
      </c>
      <c r="C9" s="230" t="s">
        <v>402</v>
      </c>
      <c r="D9" s="237" t="s">
        <v>123</v>
      </c>
      <c r="E9" s="232" t="s">
        <v>335</v>
      </c>
      <c r="F9" s="232" t="s">
        <v>119</v>
      </c>
      <c r="G9" s="232">
        <v>798.0</v>
      </c>
      <c r="H9" s="232">
        <v>40.0</v>
      </c>
      <c r="I9" s="232">
        <v>54.4</v>
      </c>
      <c r="J9" s="236">
        <v>1850.0</v>
      </c>
      <c r="K9" s="289">
        <v>1072.0</v>
      </c>
      <c r="L9" s="289">
        <v>110.0</v>
      </c>
      <c r="M9" s="289">
        <v>120.0</v>
      </c>
      <c r="N9" s="289">
        <v>3.002</v>
      </c>
      <c r="O9" s="233" t="s">
        <v>328</v>
      </c>
      <c r="P9" s="232">
        <v>1.0</v>
      </c>
      <c r="Q9" s="232" t="s">
        <v>335</v>
      </c>
      <c r="R9" s="232">
        <v>33.0</v>
      </c>
      <c r="S9" s="232">
        <v>12.0</v>
      </c>
      <c r="T9" s="232">
        <v>165.0</v>
      </c>
      <c r="U9" s="232">
        <v>12.0</v>
      </c>
      <c r="V9" s="236">
        <v>14550.0</v>
      </c>
      <c r="W9" s="236">
        <v>263000.0</v>
      </c>
      <c r="X9" s="235" t="s">
        <v>399</v>
      </c>
      <c r="Y9" s="233" t="s">
        <v>328</v>
      </c>
      <c r="Z9" s="234"/>
      <c r="AA9" s="232" t="s">
        <v>329</v>
      </c>
      <c r="AB9" s="232">
        <v>67.0</v>
      </c>
      <c r="AC9" s="233" t="s">
        <v>328</v>
      </c>
      <c r="AD9" s="232" t="s">
        <v>126</v>
      </c>
      <c r="AE9" s="232" t="s">
        <v>330</v>
      </c>
      <c r="AF9" s="290" t="s">
        <v>331</v>
      </c>
      <c r="AG9" s="292" t="s">
        <v>400</v>
      </c>
    </row>
    <row r="10" ht="13.5" customHeight="1">
      <c r="A10" s="217" t="s">
        <v>397</v>
      </c>
      <c r="B10" s="287" t="s">
        <v>326</v>
      </c>
      <c r="C10" s="288" t="s">
        <v>403</v>
      </c>
      <c r="D10" s="237" t="s">
        <v>127</v>
      </c>
      <c r="E10" s="232" t="s">
        <v>336</v>
      </c>
      <c r="F10" s="232" t="s">
        <v>119</v>
      </c>
      <c r="G10" s="232">
        <v>1005.0</v>
      </c>
      <c r="H10" s="232">
        <v>40.0</v>
      </c>
      <c r="I10" s="232">
        <v>54.4</v>
      </c>
      <c r="J10" s="236">
        <v>2500.0</v>
      </c>
      <c r="K10" s="289"/>
      <c r="L10" s="289">
        <v>110.0</v>
      </c>
      <c r="M10" s="289">
        <v>120.0</v>
      </c>
      <c r="N10" s="289"/>
      <c r="O10" s="233" t="s">
        <v>328</v>
      </c>
      <c r="P10" s="232">
        <v>1.0</v>
      </c>
      <c r="Q10" s="232" t="s">
        <v>336</v>
      </c>
      <c r="R10" s="232">
        <v>42.0</v>
      </c>
      <c r="S10" s="232">
        <v>12.0</v>
      </c>
      <c r="T10" s="232">
        <v>210.0</v>
      </c>
      <c r="U10" s="232">
        <v>12.0</v>
      </c>
      <c r="V10" s="236">
        <v>18500.0</v>
      </c>
      <c r="W10" s="236">
        <v>247000.0</v>
      </c>
      <c r="X10" s="235" t="s">
        <v>399</v>
      </c>
      <c r="Y10" s="233" t="s">
        <v>328</v>
      </c>
      <c r="Z10" s="234"/>
      <c r="AA10" s="232" t="s">
        <v>329</v>
      </c>
      <c r="AB10" s="232">
        <v>67.0</v>
      </c>
      <c r="AC10" s="233" t="s">
        <v>328</v>
      </c>
      <c r="AD10" s="232" t="s">
        <v>126</v>
      </c>
      <c r="AE10" s="232" t="s">
        <v>330</v>
      </c>
      <c r="AF10" s="290" t="s">
        <v>331</v>
      </c>
      <c r="AG10" s="293" t="s">
        <v>400</v>
      </c>
    </row>
    <row r="11" ht="13.5" customHeight="1">
      <c r="A11" s="291" t="s">
        <v>397</v>
      </c>
      <c r="B11" s="287" t="s">
        <v>326</v>
      </c>
      <c r="C11" s="237"/>
      <c r="D11" s="237" t="s">
        <v>130</v>
      </c>
      <c r="E11" s="232" t="s">
        <v>337</v>
      </c>
      <c r="F11" s="232" t="s">
        <v>133</v>
      </c>
      <c r="G11" s="232">
        <v>1281.0</v>
      </c>
      <c r="H11" s="232">
        <v>40.0</v>
      </c>
      <c r="I11" s="232">
        <v>54.4</v>
      </c>
      <c r="J11" s="236">
        <v>3100.0</v>
      </c>
      <c r="K11" s="289"/>
      <c r="L11" s="289">
        <v>110.0</v>
      </c>
      <c r="M11" s="289">
        <v>120.0</v>
      </c>
      <c r="N11" s="289"/>
      <c r="O11" s="233" t="s">
        <v>328</v>
      </c>
      <c r="P11" s="232">
        <v>1.0</v>
      </c>
      <c r="Q11" s="232" t="s">
        <v>337</v>
      </c>
      <c r="R11" s="232">
        <v>54.0</v>
      </c>
      <c r="S11" s="232">
        <v>12.0</v>
      </c>
      <c r="T11" s="232">
        <v>250.0</v>
      </c>
      <c r="U11" s="232">
        <v>12.0</v>
      </c>
      <c r="V11" s="236">
        <v>23850.0</v>
      </c>
      <c r="W11" s="236">
        <v>801000.0</v>
      </c>
      <c r="X11" s="235" t="s">
        <v>399</v>
      </c>
      <c r="Y11" s="234"/>
      <c r="Z11" s="234"/>
      <c r="AA11" s="232" t="s">
        <v>329</v>
      </c>
      <c r="AB11" s="232">
        <v>67.0</v>
      </c>
      <c r="AC11" s="233" t="s">
        <v>328</v>
      </c>
      <c r="AD11" s="232" t="s">
        <v>126</v>
      </c>
      <c r="AE11" s="232" t="s">
        <v>330</v>
      </c>
      <c r="AF11" s="290" t="s">
        <v>331</v>
      </c>
      <c r="AG11" s="286" t="s">
        <v>400</v>
      </c>
    </row>
    <row r="12" ht="33.0" customHeight="1">
      <c r="A12" s="294" t="s">
        <v>404</v>
      </c>
      <c r="B12" s="225" t="s">
        <v>339</v>
      </c>
      <c r="C12" s="225" t="s">
        <v>402</v>
      </c>
      <c r="D12" s="225" t="s">
        <v>86</v>
      </c>
      <c r="E12" s="226" t="s">
        <v>340</v>
      </c>
      <c r="F12" s="226" t="s">
        <v>341</v>
      </c>
      <c r="G12" s="226">
        <v>97.0</v>
      </c>
      <c r="H12" s="226">
        <v>89.0</v>
      </c>
      <c r="I12" s="226">
        <v>73.0</v>
      </c>
      <c r="J12" s="226" t="s">
        <v>342</v>
      </c>
      <c r="K12" s="295">
        <v>246.0</v>
      </c>
      <c r="L12" s="295">
        <v>190.0</v>
      </c>
      <c r="M12" s="295">
        <v>120.0</v>
      </c>
      <c r="N12" s="295">
        <v>2.375</v>
      </c>
      <c r="O12" s="240" t="s">
        <v>328</v>
      </c>
      <c r="P12" s="226">
        <v>2.0</v>
      </c>
      <c r="Q12" s="226" t="s">
        <v>340</v>
      </c>
      <c r="R12" s="226">
        <v>10.0</v>
      </c>
      <c r="S12" s="226">
        <v>12.0</v>
      </c>
      <c r="T12" s="226">
        <v>24.0</v>
      </c>
      <c r="U12" s="226">
        <v>12.0</v>
      </c>
      <c r="V12" s="226" t="s">
        <v>343</v>
      </c>
      <c r="W12" s="241">
        <v>48500.0</v>
      </c>
      <c r="X12" s="235" t="s">
        <v>405</v>
      </c>
      <c r="Y12" s="240" t="s">
        <v>328</v>
      </c>
      <c r="Z12" s="222"/>
      <c r="AA12" s="226" t="s">
        <v>329</v>
      </c>
      <c r="AB12" s="226">
        <v>67.0</v>
      </c>
      <c r="AC12" s="240" t="s">
        <v>328</v>
      </c>
      <c r="AD12" s="226" t="s">
        <v>71</v>
      </c>
      <c r="AE12" s="226" t="s">
        <v>344</v>
      </c>
      <c r="AF12" s="215" t="s">
        <v>331</v>
      </c>
      <c r="AG12" s="292" t="s">
        <v>400</v>
      </c>
    </row>
    <row r="13" ht="33.0" customHeight="1">
      <c r="A13" s="294" t="s">
        <v>404</v>
      </c>
      <c r="B13" s="225" t="s">
        <v>339</v>
      </c>
      <c r="C13" s="225" t="s">
        <v>402</v>
      </c>
      <c r="D13" s="225" t="s">
        <v>81</v>
      </c>
      <c r="E13" s="226" t="s">
        <v>340</v>
      </c>
      <c r="F13" s="226" t="s">
        <v>341</v>
      </c>
      <c r="G13" s="226">
        <v>97.0</v>
      </c>
      <c r="H13" s="226">
        <v>89.0</v>
      </c>
      <c r="I13" s="226">
        <v>73.0</v>
      </c>
      <c r="J13" s="226" t="s">
        <v>342</v>
      </c>
      <c r="K13" s="295">
        <v>246.0</v>
      </c>
      <c r="L13" s="295">
        <v>190.0</v>
      </c>
      <c r="M13" s="295">
        <v>120.0</v>
      </c>
      <c r="N13" s="295">
        <v>2.375</v>
      </c>
      <c r="O13" s="240" t="s">
        <v>328</v>
      </c>
      <c r="P13" s="226">
        <v>2.0</v>
      </c>
      <c r="Q13" s="226" t="s">
        <v>340</v>
      </c>
      <c r="R13" s="226">
        <v>10.0</v>
      </c>
      <c r="S13" s="226">
        <v>12.0</v>
      </c>
      <c r="T13" s="226">
        <v>24.0</v>
      </c>
      <c r="U13" s="226">
        <v>12.0</v>
      </c>
      <c r="V13" s="226" t="s">
        <v>343</v>
      </c>
      <c r="W13" s="241">
        <v>48500.0</v>
      </c>
      <c r="X13" s="227" t="s">
        <v>345</v>
      </c>
      <c r="Y13" s="222"/>
      <c r="Z13" s="222"/>
      <c r="AA13" s="226" t="s">
        <v>329</v>
      </c>
      <c r="AB13" s="226">
        <v>67.0</v>
      </c>
      <c r="AC13" s="240" t="s">
        <v>328</v>
      </c>
      <c r="AD13" s="226" t="s">
        <v>71</v>
      </c>
      <c r="AE13" s="226" t="s">
        <v>344</v>
      </c>
      <c r="AF13" s="215" t="s">
        <v>331</v>
      </c>
      <c r="AG13" s="286" t="s">
        <v>400</v>
      </c>
    </row>
    <row r="14" ht="33.0" customHeight="1">
      <c r="A14" s="294" t="s">
        <v>404</v>
      </c>
      <c r="B14" s="244">
        <v>2000.0</v>
      </c>
      <c r="C14" s="244" t="s">
        <v>406</v>
      </c>
      <c r="D14" s="251" t="s">
        <v>74</v>
      </c>
      <c r="E14" s="246" t="s">
        <v>346</v>
      </c>
      <c r="F14" s="246" t="s">
        <v>76</v>
      </c>
      <c r="G14" s="246">
        <v>81.0</v>
      </c>
      <c r="H14" s="246">
        <v>60.0</v>
      </c>
      <c r="I14" s="246">
        <v>58.0</v>
      </c>
      <c r="J14" s="246" t="s">
        <v>347</v>
      </c>
      <c r="K14" s="296">
        <v>229.0</v>
      </c>
      <c r="L14" s="296">
        <v>217.0</v>
      </c>
      <c r="M14" s="296">
        <v>130.0</v>
      </c>
      <c r="N14" s="296">
        <v>1.663</v>
      </c>
      <c r="O14" s="247" t="s">
        <v>328</v>
      </c>
      <c r="P14" s="246">
        <v>2.0</v>
      </c>
      <c r="Q14" s="246" t="s">
        <v>346</v>
      </c>
      <c r="R14" s="246">
        <v>2.0</v>
      </c>
      <c r="S14" s="246">
        <v>12.0</v>
      </c>
      <c r="T14" s="246">
        <v>9.2</v>
      </c>
      <c r="U14" s="246">
        <v>12.0</v>
      </c>
      <c r="V14" s="246" t="s">
        <v>348</v>
      </c>
      <c r="W14" s="249"/>
      <c r="X14" s="235" t="s">
        <v>405</v>
      </c>
      <c r="Y14" s="248"/>
      <c r="Z14" s="248"/>
      <c r="AA14" s="246" t="s">
        <v>329</v>
      </c>
      <c r="AB14" s="246">
        <v>67.0</v>
      </c>
      <c r="AC14" s="247" t="s">
        <v>328</v>
      </c>
      <c r="AD14" s="246" t="s">
        <v>71</v>
      </c>
      <c r="AE14" s="246" t="s">
        <v>344</v>
      </c>
      <c r="AF14" s="297" t="s">
        <v>331</v>
      </c>
      <c r="AG14" s="292" t="s">
        <v>400</v>
      </c>
    </row>
    <row r="15" ht="33.0" customHeight="1">
      <c r="A15" s="294" t="s">
        <v>404</v>
      </c>
      <c r="B15" s="298">
        <v>2000.0</v>
      </c>
      <c r="C15" s="298" t="s">
        <v>406</v>
      </c>
      <c r="D15" s="251" t="s">
        <v>79</v>
      </c>
      <c r="E15" s="246" t="s">
        <v>346</v>
      </c>
      <c r="F15" s="246" t="s">
        <v>73</v>
      </c>
      <c r="G15" s="246">
        <v>81.0</v>
      </c>
      <c r="H15" s="246">
        <v>60.0</v>
      </c>
      <c r="I15" s="246">
        <v>58.0</v>
      </c>
      <c r="J15" s="246" t="s">
        <v>347</v>
      </c>
      <c r="K15" s="296">
        <v>229.0</v>
      </c>
      <c r="L15" s="296">
        <v>217.0</v>
      </c>
      <c r="M15" s="296">
        <v>130.0</v>
      </c>
      <c r="N15" s="296">
        <v>1.663</v>
      </c>
      <c r="O15" s="247" t="s">
        <v>328</v>
      </c>
      <c r="P15" s="246">
        <v>2.0</v>
      </c>
      <c r="Q15" s="246" t="s">
        <v>346</v>
      </c>
      <c r="R15" s="246">
        <v>2.0</v>
      </c>
      <c r="S15" s="246">
        <v>12.0</v>
      </c>
      <c r="T15" s="246">
        <v>9.2</v>
      </c>
      <c r="U15" s="246">
        <v>12.0</v>
      </c>
      <c r="V15" s="246" t="s">
        <v>348</v>
      </c>
      <c r="W15" s="249">
        <v>3760.0</v>
      </c>
      <c r="X15" s="235" t="s">
        <v>405</v>
      </c>
      <c r="Y15" s="248"/>
      <c r="Z15" s="248"/>
      <c r="AA15" s="246" t="s">
        <v>329</v>
      </c>
      <c r="AB15" s="246">
        <v>67.0</v>
      </c>
      <c r="AC15" s="247" t="s">
        <v>328</v>
      </c>
      <c r="AD15" s="246" t="s">
        <v>71</v>
      </c>
      <c r="AE15" s="246" t="s">
        <v>344</v>
      </c>
      <c r="AF15" s="297" t="s">
        <v>331</v>
      </c>
      <c r="AG15" s="286" t="s">
        <v>400</v>
      </c>
    </row>
    <row r="16" ht="33.0" customHeight="1">
      <c r="A16" s="294" t="s">
        <v>404</v>
      </c>
      <c r="B16" s="244">
        <v>2000.0</v>
      </c>
      <c r="C16" s="244" t="s">
        <v>406</v>
      </c>
      <c r="D16" s="251" t="s">
        <v>77</v>
      </c>
      <c r="E16" s="246" t="s">
        <v>346</v>
      </c>
      <c r="F16" s="246" t="s">
        <v>76</v>
      </c>
      <c r="G16" s="246">
        <v>81.0</v>
      </c>
      <c r="H16" s="246">
        <v>60.0</v>
      </c>
      <c r="I16" s="246">
        <v>58.0</v>
      </c>
      <c r="J16" s="246" t="s">
        <v>347</v>
      </c>
      <c r="K16" s="296">
        <v>229.0</v>
      </c>
      <c r="L16" s="296">
        <v>217.0</v>
      </c>
      <c r="M16" s="296">
        <v>130.0</v>
      </c>
      <c r="N16" s="296">
        <v>1.663</v>
      </c>
      <c r="O16" s="247" t="s">
        <v>328</v>
      </c>
      <c r="P16" s="246">
        <v>2.0</v>
      </c>
      <c r="Q16" s="246" t="s">
        <v>346</v>
      </c>
      <c r="R16" s="246">
        <v>2.0</v>
      </c>
      <c r="S16" s="246">
        <v>12.0</v>
      </c>
      <c r="T16" s="246">
        <v>9.2</v>
      </c>
      <c r="U16" s="246">
        <v>12.0</v>
      </c>
      <c r="V16" s="246" t="s">
        <v>348</v>
      </c>
      <c r="W16" s="249"/>
      <c r="X16" s="235" t="s">
        <v>405</v>
      </c>
      <c r="Y16" s="248"/>
      <c r="Z16" s="248"/>
      <c r="AA16" s="246" t="s">
        <v>329</v>
      </c>
      <c r="AB16" s="246">
        <v>67.0</v>
      </c>
      <c r="AC16" s="247" t="s">
        <v>328</v>
      </c>
      <c r="AD16" s="246" t="s">
        <v>71</v>
      </c>
      <c r="AE16" s="246" t="s">
        <v>344</v>
      </c>
      <c r="AF16" s="297" t="s">
        <v>331</v>
      </c>
      <c r="AG16" s="292" t="s">
        <v>400</v>
      </c>
    </row>
    <row r="17" ht="33.0" customHeight="1">
      <c r="A17" s="291" t="s">
        <v>404</v>
      </c>
      <c r="B17" s="298">
        <v>2000.0</v>
      </c>
      <c r="C17" s="298" t="s">
        <v>406</v>
      </c>
      <c r="D17" s="251" t="s">
        <v>66</v>
      </c>
      <c r="E17" s="246" t="s">
        <v>346</v>
      </c>
      <c r="F17" s="246" t="s">
        <v>73</v>
      </c>
      <c r="G17" s="246">
        <v>81.0</v>
      </c>
      <c r="H17" s="246">
        <v>60.0</v>
      </c>
      <c r="I17" s="246">
        <v>58.0</v>
      </c>
      <c r="J17" s="246" t="s">
        <v>347</v>
      </c>
      <c r="K17" s="296">
        <v>229.0</v>
      </c>
      <c r="L17" s="296">
        <v>217.0</v>
      </c>
      <c r="M17" s="296">
        <v>130.0</v>
      </c>
      <c r="N17" s="296">
        <v>1.663</v>
      </c>
      <c r="O17" s="247" t="s">
        <v>328</v>
      </c>
      <c r="P17" s="246">
        <v>2.0</v>
      </c>
      <c r="Q17" s="246" t="s">
        <v>346</v>
      </c>
      <c r="R17" s="246">
        <v>2.0</v>
      </c>
      <c r="S17" s="246">
        <v>12.0</v>
      </c>
      <c r="T17" s="246">
        <v>9.2</v>
      </c>
      <c r="U17" s="246">
        <v>12.0</v>
      </c>
      <c r="V17" s="246" t="s">
        <v>348</v>
      </c>
      <c r="W17" s="249">
        <v>3760.0</v>
      </c>
      <c r="X17" s="227" t="s">
        <v>345</v>
      </c>
      <c r="Y17" s="248"/>
      <c r="Z17" s="248"/>
      <c r="AA17" s="246" t="s">
        <v>329</v>
      </c>
      <c r="AB17" s="246">
        <v>67.0</v>
      </c>
      <c r="AC17" s="247" t="s">
        <v>328</v>
      </c>
      <c r="AD17" s="246" t="s">
        <v>71</v>
      </c>
      <c r="AE17" s="246" t="s">
        <v>344</v>
      </c>
      <c r="AF17" s="297" t="s">
        <v>331</v>
      </c>
      <c r="AG17" s="286" t="s">
        <v>400</v>
      </c>
    </row>
    <row r="18" ht="39.75" customHeight="1">
      <c r="A18" s="299" t="s">
        <v>355</v>
      </c>
      <c r="B18" s="299" t="s">
        <v>356</v>
      </c>
      <c r="C18" s="300" t="s">
        <v>407</v>
      </c>
      <c r="D18" s="225" t="s">
        <v>135</v>
      </c>
      <c r="E18" s="226" t="s">
        <v>349</v>
      </c>
      <c r="F18" s="226" t="s">
        <v>408</v>
      </c>
      <c r="G18" s="226">
        <v>575.0</v>
      </c>
      <c r="H18" s="226">
        <v>275.0</v>
      </c>
      <c r="I18" s="226">
        <v>145.0</v>
      </c>
      <c r="J18" s="226" t="s">
        <v>351</v>
      </c>
      <c r="K18" s="295">
        <v>574.0</v>
      </c>
      <c r="L18" s="295">
        <v>275.0</v>
      </c>
      <c r="M18" s="295">
        <v>144.0</v>
      </c>
      <c r="N18" s="295">
        <v>5.896</v>
      </c>
      <c r="O18" s="240" t="s">
        <v>328</v>
      </c>
      <c r="P18" s="226">
        <v>2.0</v>
      </c>
      <c r="Q18" s="226" t="s">
        <v>327</v>
      </c>
      <c r="R18" s="226">
        <v>16.0</v>
      </c>
      <c r="S18" s="252">
        <v>12.0</v>
      </c>
      <c r="T18" s="226">
        <v>42.0</v>
      </c>
      <c r="U18" s="252">
        <v>12.0</v>
      </c>
      <c r="V18" s="226" t="s">
        <v>353</v>
      </c>
      <c r="W18" s="241" t="s">
        <v>409</v>
      </c>
      <c r="X18" s="235" t="s">
        <v>405</v>
      </c>
      <c r="Y18" s="240" t="s">
        <v>328</v>
      </c>
      <c r="Z18" s="222"/>
      <c r="AA18" s="226" t="s">
        <v>329</v>
      </c>
      <c r="AB18" s="226">
        <v>68.0</v>
      </c>
      <c r="AC18" s="240" t="s">
        <v>328</v>
      </c>
      <c r="AD18" s="226" t="s">
        <v>139</v>
      </c>
      <c r="AE18" s="226" t="s">
        <v>354</v>
      </c>
      <c r="AF18" s="215" t="s">
        <v>331</v>
      </c>
      <c r="AG18" s="292" t="s">
        <v>400</v>
      </c>
    </row>
    <row r="19" ht="39.75" customHeight="1">
      <c r="A19" s="253" t="s">
        <v>355</v>
      </c>
      <c r="B19" s="253" t="s">
        <v>356</v>
      </c>
      <c r="C19" s="254" t="s">
        <v>407</v>
      </c>
      <c r="D19" s="225" t="s">
        <v>142</v>
      </c>
      <c r="E19" s="252" t="s">
        <v>349</v>
      </c>
      <c r="F19" s="226" t="s">
        <v>408</v>
      </c>
      <c r="G19" s="226">
        <v>575.0</v>
      </c>
      <c r="H19" s="226">
        <v>275.0</v>
      </c>
      <c r="I19" s="226">
        <v>145.0</v>
      </c>
      <c r="J19" s="226" t="s">
        <v>351</v>
      </c>
      <c r="K19" s="301">
        <v>574.0</v>
      </c>
      <c r="L19" s="301">
        <v>275.0</v>
      </c>
      <c r="M19" s="301">
        <v>144.0</v>
      </c>
      <c r="N19" s="301">
        <v>5.896</v>
      </c>
      <c r="O19" s="255" t="s">
        <v>328</v>
      </c>
      <c r="P19" s="252">
        <v>2.0</v>
      </c>
      <c r="Q19" s="252" t="s">
        <v>327</v>
      </c>
      <c r="R19" s="252">
        <v>16.0</v>
      </c>
      <c r="S19" s="252">
        <v>12.0</v>
      </c>
      <c r="T19" s="252">
        <v>42.0</v>
      </c>
      <c r="U19" s="252">
        <v>12.0</v>
      </c>
      <c r="V19" s="226" t="s">
        <v>353</v>
      </c>
      <c r="W19" s="258" t="s">
        <v>409</v>
      </c>
      <c r="X19" s="227" t="s">
        <v>345</v>
      </c>
      <c r="Y19" s="256"/>
      <c r="Z19" s="256"/>
      <c r="AA19" s="252" t="s">
        <v>329</v>
      </c>
      <c r="AB19" s="252">
        <v>68.0</v>
      </c>
      <c r="AC19" s="255" t="s">
        <v>328</v>
      </c>
      <c r="AD19" s="226" t="s">
        <v>139</v>
      </c>
      <c r="AE19" s="252" t="s">
        <v>354</v>
      </c>
      <c r="AF19" s="302" t="s">
        <v>331</v>
      </c>
      <c r="AG19" s="286" t="s">
        <v>400</v>
      </c>
    </row>
    <row r="20" ht="39.75" customHeight="1">
      <c r="A20" s="299" t="s">
        <v>355</v>
      </c>
      <c r="B20" s="299" t="s">
        <v>356</v>
      </c>
      <c r="C20" s="303" t="s">
        <v>407</v>
      </c>
      <c r="D20" s="225" t="s">
        <v>145</v>
      </c>
      <c r="E20" s="252" t="s">
        <v>357</v>
      </c>
      <c r="F20" s="226" t="s">
        <v>408</v>
      </c>
      <c r="G20" s="252">
        <v>770.0</v>
      </c>
      <c r="H20" s="252">
        <v>300.0</v>
      </c>
      <c r="I20" s="252">
        <v>175.0</v>
      </c>
      <c r="J20" s="252" t="s">
        <v>358</v>
      </c>
      <c r="K20" s="301">
        <v>770.0</v>
      </c>
      <c r="L20" s="301">
        <v>300.0</v>
      </c>
      <c r="M20" s="301">
        <v>175.0</v>
      </c>
      <c r="N20" s="301">
        <v>9.394</v>
      </c>
      <c r="O20" s="255" t="s">
        <v>328</v>
      </c>
      <c r="P20" s="252">
        <v>2.0</v>
      </c>
      <c r="Q20" s="252" t="s">
        <v>359</v>
      </c>
      <c r="R20" s="252">
        <v>32.0</v>
      </c>
      <c r="S20" s="252">
        <v>12.0</v>
      </c>
      <c r="T20" s="252">
        <v>100.0</v>
      </c>
      <c r="U20" s="252">
        <v>12.0</v>
      </c>
      <c r="V20" s="252" t="s">
        <v>360</v>
      </c>
      <c r="W20" s="258" t="s">
        <v>410</v>
      </c>
      <c r="X20" s="235" t="s">
        <v>352</v>
      </c>
      <c r="Y20" s="240" t="s">
        <v>328</v>
      </c>
      <c r="Z20" s="256"/>
      <c r="AA20" s="252" t="s">
        <v>329</v>
      </c>
      <c r="AB20" s="252">
        <v>68.0</v>
      </c>
      <c r="AC20" s="255" t="s">
        <v>328</v>
      </c>
      <c r="AD20" s="226" t="s">
        <v>139</v>
      </c>
      <c r="AE20" s="252" t="s">
        <v>354</v>
      </c>
      <c r="AF20" s="302" t="s">
        <v>331</v>
      </c>
      <c r="AG20" s="292" t="s">
        <v>400</v>
      </c>
    </row>
    <row r="21" ht="42.75" customHeight="1">
      <c r="A21" s="304" t="s">
        <v>355</v>
      </c>
      <c r="B21" s="291" t="s">
        <v>361</v>
      </c>
      <c r="C21" s="300" t="s">
        <v>411</v>
      </c>
      <c r="D21" s="305" t="s">
        <v>98</v>
      </c>
      <c r="E21" s="226" t="s">
        <v>412</v>
      </c>
      <c r="F21" s="226" t="s">
        <v>363</v>
      </c>
      <c r="G21" s="226">
        <v>185.0</v>
      </c>
      <c r="H21" s="226">
        <v>250.0</v>
      </c>
      <c r="I21" s="226">
        <v>120.0</v>
      </c>
      <c r="J21" s="226" t="s">
        <v>364</v>
      </c>
      <c r="K21" s="295">
        <v>240.0</v>
      </c>
      <c r="L21" s="295">
        <v>184.0</v>
      </c>
      <c r="M21" s="295">
        <v>117.0</v>
      </c>
      <c r="N21" s="295">
        <v>1.953</v>
      </c>
      <c r="O21" s="240" t="s">
        <v>328</v>
      </c>
      <c r="P21" s="226">
        <v>2.0</v>
      </c>
      <c r="Q21" s="226" t="s">
        <v>365</v>
      </c>
      <c r="R21" s="226">
        <v>4.0</v>
      </c>
      <c r="S21" s="226">
        <v>12.0</v>
      </c>
      <c r="T21" s="226" t="s">
        <v>366</v>
      </c>
      <c r="U21" s="226">
        <v>12.0</v>
      </c>
      <c r="V21" s="226" t="s">
        <v>368</v>
      </c>
      <c r="W21" s="226" t="s">
        <v>101</v>
      </c>
      <c r="X21" s="306" t="s">
        <v>413</v>
      </c>
      <c r="Y21" s="222"/>
      <c r="Z21" s="222"/>
      <c r="AA21" s="226" t="s">
        <v>329</v>
      </c>
      <c r="AB21" s="226">
        <v>67.0</v>
      </c>
      <c r="AC21" s="240" t="s">
        <v>328</v>
      </c>
      <c r="AD21" s="226" t="s">
        <v>102</v>
      </c>
      <c r="AE21" s="226" t="s">
        <v>354</v>
      </c>
      <c r="AF21" s="215" t="s">
        <v>331</v>
      </c>
      <c r="AG21" s="286" t="s">
        <v>400</v>
      </c>
    </row>
    <row r="22" ht="39.75" customHeight="1">
      <c r="A22" s="304" t="s">
        <v>355</v>
      </c>
      <c r="B22" s="217" t="s">
        <v>361</v>
      </c>
      <c r="C22" s="218" t="s">
        <v>414</v>
      </c>
      <c r="D22" s="305" t="s">
        <v>109</v>
      </c>
      <c r="E22" s="226" t="s">
        <v>412</v>
      </c>
      <c r="F22" s="226" t="s">
        <v>363</v>
      </c>
      <c r="G22" s="226">
        <v>185.0</v>
      </c>
      <c r="H22" s="226">
        <v>250.0</v>
      </c>
      <c r="I22" s="226">
        <v>120.0</v>
      </c>
      <c r="J22" s="226" t="s">
        <v>364</v>
      </c>
      <c r="K22" s="295">
        <v>240.0</v>
      </c>
      <c r="L22" s="295">
        <v>184.0</v>
      </c>
      <c r="M22" s="295">
        <v>117.0</v>
      </c>
      <c r="N22" s="295">
        <v>1.948</v>
      </c>
      <c r="O22" s="240" t="s">
        <v>328</v>
      </c>
      <c r="P22" s="226">
        <v>2.0</v>
      </c>
      <c r="Q22" s="226" t="s">
        <v>365</v>
      </c>
      <c r="R22" s="226">
        <v>4.0</v>
      </c>
      <c r="S22" s="226">
        <v>12.0</v>
      </c>
      <c r="T22" s="226" t="s">
        <v>366</v>
      </c>
      <c r="U22" s="226">
        <v>12.0</v>
      </c>
      <c r="V22" s="226" t="s">
        <v>372</v>
      </c>
      <c r="W22" s="241" t="s">
        <v>415</v>
      </c>
      <c r="X22" s="270" t="s">
        <v>371</v>
      </c>
      <c r="Y22" s="240" t="s">
        <v>328</v>
      </c>
      <c r="Z22" s="222"/>
      <c r="AA22" s="226" t="s">
        <v>329</v>
      </c>
      <c r="AB22" s="226">
        <v>67.0</v>
      </c>
      <c r="AC22" s="240" t="s">
        <v>328</v>
      </c>
      <c r="AD22" s="226" t="s">
        <v>105</v>
      </c>
      <c r="AE22" s="226" t="s">
        <v>354</v>
      </c>
      <c r="AF22" s="215" t="s">
        <v>331</v>
      </c>
      <c r="AG22" s="292" t="s">
        <v>400</v>
      </c>
    </row>
    <row r="23" ht="39.75" customHeight="1">
      <c r="A23" s="304" t="s">
        <v>355</v>
      </c>
      <c r="B23" s="291" t="s">
        <v>361</v>
      </c>
      <c r="C23" s="300"/>
      <c r="D23" s="305" t="s">
        <v>103</v>
      </c>
      <c r="E23" s="226" t="s">
        <v>412</v>
      </c>
      <c r="F23" s="226" t="s">
        <v>373</v>
      </c>
      <c r="G23" s="226">
        <v>185.0</v>
      </c>
      <c r="H23" s="226">
        <v>250.0</v>
      </c>
      <c r="I23" s="226">
        <v>120.0</v>
      </c>
      <c r="J23" s="226" t="s">
        <v>364</v>
      </c>
      <c r="K23" s="295">
        <v>240.0</v>
      </c>
      <c r="L23" s="295">
        <v>184.0</v>
      </c>
      <c r="M23" s="295">
        <v>117.0</v>
      </c>
      <c r="N23" s="295">
        <v>1.943</v>
      </c>
      <c r="O23" s="240" t="s">
        <v>328</v>
      </c>
      <c r="P23" s="226">
        <v>2.0</v>
      </c>
      <c r="Q23" s="226" t="s">
        <v>365</v>
      </c>
      <c r="R23" s="222"/>
      <c r="S23" s="226">
        <v>12.0</v>
      </c>
      <c r="T23" s="226" t="s">
        <v>366</v>
      </c>
      <c r="U23" s="226">
        <v>12.0</v>
      </c>
      <c r="V23" s="226" t="s">
        <v>372</v>
      </c>
      <c r="W23" s="241" t="s">
        <v>415</v>
      </c>
      <c r="X23" s="270" t="s">
        <v>371</v>
      </c>
      <c r="Y23" s="240" t="s">
        <v>328</v>
      </c>
      <c r="Z23" s="222"/>
      <c r="AA23" s="226" t="s">
        <v>329</v>
      </c>
      <c r="AB23" s="226">
        <v>67.0</v>
      </c>
      <c r="AC23" s="240" t="s">
        <v>328</v>
      </c>
      <c r="AD23" s="226" t="s">
        <v>105</v>
      </c>
      <c r="AE23" s="226" t="s">
        <v>354</v>
      </c>
      <c r="AF23" s="215" t="s">
        <v>331</v>
      </c>
      <c r="AG23" s="286" t="s">
        <v>400</v>
      </c>
    </row>
    <row r="24" ht="39.75" customHeight="1">
      <c r="A24" s="304" t="s">
        <v>355</v>
      </c>
      <c r="B24" s="224" t="s">
        <v>361</v>
      </c>
      <c r="C24" s="225"/>
      <c r="D24" s="307" t="s">
        <v>107</v>
      </c>
      <c r="E24" s="226" t="s">
        <v>412</v>
      </c>
      <c r="F24" s="226" t="s">
        <v>373</v>
      </c>
      <c r="G24" s="226">
        <v>185.0</v>
      </c>
      <c r="H24" s="226">
        <v>250.0</v>
      </c>
      <c r="I24" s="226">
        <v>120.0</v>
      </c>
      <c r="J24" s="226" t="s">
        <v>364</v>
      </c>
      <c r="K24" s="295">
        <v>240.0</v>
      </c>
      <c r="L24" s="295">
        <v>184.0</v>
      </c>
      <c r="M24" s="295">
        <v>117.0</v>
      </c>
      <c r="N24" s="295">
        <v>1.938</v>
      </c>
      <c r="O24" s="240" t="s">
        <v>328</v>
      </c>
      <c r="P24" s="226">
        <v>2.0</v>
      </c>
      <c r="Q24" s="226" t="s">
        <v>365</v>
      </c>
      <c r="R24" s="222"/>
      <c r="S24" s="226">
        <v>12.0</v>
      </c>
      <c r="T24" s="226" t="s">
        <v>366</v>
      </c>
      <c r="U24" s="226">
        <v>12.0</v>
      </c>
      <c r="V24" s="226" t="s">
        <v>372</v>
      </c>
      <c r="W24" s="241" t="s">
        <v>415</v>
      </c>
      <c r="X24" s="227" t="s">
        <v>345</v>
      </c>
      <c r="Y24" s="240" t="s">
        <v>328</v>
      </c>
      <c r="Z24" s="222"/>
      <c r="AA24" s="226" t="s">
        <v>329</v>
      </c>
      <c r="AB24" s="226">
        <v>67.0</v>
      </c>
      <c r="AC24" s="240" t="s">
        <v>328</v>
      </c>
      <c r="AD24" s="226" t="s">
        <v>105</v>
      </c>
      <c r="AE24" s="226" t="s">
        <v>354</v>
      </c>
      <c r="AF24" s="215" t="s">
        <v>331</v>
      </c>
      <c r="AG24" s="292" t="s">
        <v>400</v>
      </c>
    </row>
    <row r="25" ht="36.75" customHeight="1">
      <c r="A25" s="304" t="s">
        <v>416</v>
      </c>
      <c r="B25" s="225"/>
      <c r="C25" s="225"/>
      <c r="D25" s="307" t="s">
        <v>150</v>
      </c>
      <c r="E25" s="226"/>
      <c r="F25" s="226" t="s">
        <v>417</v>
      </c>
      <c r="G25" s="226"/>
      <c r="H25" s="226"/>
      <c r="I25" s="226"/>
      <c r="J25" s="226"/>
      <c r="K25" s="295"/>
      <c r="L25" s="295"/>
      <c r="M25" s="295"/>
      <c r="N25" s="295"/>
      <c r="O25" s="240"/>
      <c r="P25" s="226"/>
      <c r="Q25" s="226"/>
      <c r="R25" s="222"/>
      <c r="S25" s="226"/>
      <c r="T25" s="226"/>
      <c r="U25" s="226"/>
      <c r="V25" s="226"/>
      <c r="W25" s="241"/>
      <c r="X25" s="270"/>
      <c r="Y25" s="240"/>
      <c r="Z25" s="222"/>
      <c r="AA25" s="226"/>
      <c r="AB25" s="226"/>
      <c r="AC25" s="240"/>
      <c r="AD25" s="226"/>
      <c r="AE25" s="226"/>
      <c r="AF25" s="215"/>
      <c r="AG25" s="286"/>
    </row>
    <row r="26" ht="36.75" customHeight="1">
      <c r="A26" s="304" t="s">
        <v>416</v>
      </c>
      <c r="B26" s="225"/>
      <c r="C26" s="225"/>
      <c r="D26" s="307" t="s">
        <v>156</v>
      </c>
      <c r="E26" s="226"/>
      <c r="F26" s="226" t="s">
        <v>417</v>
      </c>
      <c r="G26" s="226"/>
      <c r="H26" s="226">
        <v>5600.0</v>
      </c>
      <c r="I26" s="226"/>
      <c r="J26" s="226"/>
      <c r="K26" s="295"/>
      <c r="L26" s="295"/>
      <c r="M26" s="295"/>
      <c r="N26" s="295"/>
      <c r="O26" s="240"/>
      <c r="P26" s="226"/>
      <c r="Q26" s="226"/>
      <c r="R26" s="222"/>
      <c r="S26" s="226"/>
      <c r="T26" s="226"/>
      <c r="U26" s="226"/>
      <c r="V26" s="226"/>
      <c r="W26" s="241"/>
      <c r="X26" s="270"/>
      <c r="Y26" s="240"/>
      <c r="Z26" s="222"/>
      <c r="AA26" s="226"/>
      <c r="AB26" s="226"/>
      <c r="AC26" s="240"/>
      <c r="AD26" s="226"/>
      <c r="AE26" s="226"/>
      <c r="AF26" s="215"/>
      <c r="AG26" s="292"/>
    </row>
    <row r="27" ht="39.0" customHeight="1">
      <c r="A27" s="304" t="s">
        <v>416</v>
      </c>
      <c r="B27" s="225"/>
      <c r="C27" s="225"/>
      <c r="D27" s="307" t="s">
        <v>418</v>
      </c>
      <c r="E27" s="226"/>
      <c r="F27" s="226" t="s">
        <v>419</v>
      </c>
      <c r="G27" s="226">
        <v>130.0</v>
      </c>
      <c r="H27" s="226"/>
      <c r="I27" s="226"/>
      <c r="J27" s="226"/>
      <c r="K27" s="295"/>
      <c r="L27" s="295"/>
      <c r="M27" s="295"/>
      <c r="N27" s="295"/>
      <c r="O27" s="240"/>
      <c r="P27" s="226"/>
      <c r="Q27" s="226"/>
      <c r="R27" s="222"/>
      <c r="S27" s="226"/>
      <c r="T27" s="226"/>
      <c r="U27" s="226"/>
      <c r="V27" s="226"/>
      <c r="W27" s="241"/>
      <c r="X27" s="270"/>
      <c r="Y27" s="240"/>
      <c r="Z27" s="222"/>
      <c r="AA27" s="226"/>
      <c r="AB27" s="226"/>
      <c r="AC27" s="240"/>
      <c r="AD27" s="226"/>
      <c r="AE27" s="226"/>
      <c r="AF27" s="215"/>
      <c r="AG27" s="286"/>
    </row>
    <row r="28" ht="51.0" customHeight="1">
      <c r="A28" s="308" t="s">
        <v>355</v>
      </c>
      <c r="B28" s="225" t="s">
        <v>374</v>
      </c>
      <c r="C28" s="225" t="s">
        <v>420</v>
      </c>
      <c r="D28" s="305" t="s">
        <v>89</v>
      </c>
      <c r="E28" s="226" t="s">
        <v>375</v>
      </c>
      <c r="F28" s="226" t="s">
        <v>341</v>
      </c>
      <c r="G28" s="226"/>
      <c r="H28" s="226"/>
      <c r="I28" s="226"/>
      <c r="J28" s="226" t="s">
        <v>421</v>
      </c>
      <c r="K28" s="295">
        <v>222.0</v>
      </c>
      <c r="L28" s="295">
        <v>168.0</v>
      </c>
      <c r="M28" s="295">
        <v>110.0</v>
      </c>
      <c r="N28" s="295">
        <v>1.454</v>
      </c>
      <c r="O28" s="240" t="s">
        <v>328</v>
      </c>
      <c r="P28" s="226">
        <v>2.0</v>
      </c>
      <c r="Q28" s="226" t="s">
        <v>376</v>
      </c>
      <c r="R28" s="226">
        <v>4.0</v>
      </c>
      <c r="S28" s="226">
        <v>12.0</v>
      </c>
      <c r="T28" s="226" t="s">
        <v>377</v>
      </c>
      <c r="U28" s="226">
        <v>12.0</v>
      </c>
      <c r="V28" s="226" t="s">
        <v>372</v>
      </c>
      <c r="W28" s="241" t="s">
        <v>415</v>
      </c>
      <c r="X28" s="227" t="s">
        <v>422</v>
      </c>
      <c r="Y28" s="222"/>
      <c r="Z28" s="222"/>
      <c r="AA28" s="252" t="s">
        <v>329</v>
      </c>
      <c r="AB28" s="252">
        <v>68.0</v>
      </c>
      <c r="AC28" s="255" t="s">
        <v>328</v>
      </c>
      <c r="AD28" s="309" t="s">
        <v>379</v>
      </c>
      <c r="AE28" s="252" t="s">
        <v>354</v>
      </c>
      <c r="AF28" s="302" t="s">
        <v>331</v>
      </c>
      <c r="AG28" s="286" t="s">
        <v>400</v>
      </c>
    </row>
    <row r="29" ht="13.5" customHeight="1">
      <c r="A29" s="211"/>
      <c r="B29" s="210"/>
      <c r="C29" s="210"/>
      <c r="D29" s="211"/>
      <c r="E29" s="210"/>
      <c r="F29" s="210"/>
      <c r="G29" s="210"/>
      <c r="H29" s="210"/>
      <c r="I29" s="210"/>
      <c r="J29" s="210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0"/>
      <c r="AE29" s="211"/>
      <c r="AF29" s="211"/>
      <c r="AG29" s="8"/>
    </row>
    <row r="30" ht="43.5" customHeight="1">
      <c r="A30" s="283" t="s">
        <v>423</v>
      </c>
      <c r="B30" s="310"/>
      <c r="C30" s="311" t="s">
        <v>424</v>
      </c>
      <c r="D30" s="291" t="s">
        <v>425</v>
      </c>
      <c r="E30" s="312"/>
      <c r="F30" s="310" t="s">
        <v>426</v>
      </c>
      <c r="G30" s="312"/>
      <c r="H30" s="310"/>
      <c r="I30" s="312"/>
      <c r="J30" s="310" t="s">
        <v>427</v>
      </c>
      <c r="K30" s="312">
        <v>216.0</v>
      </c>
      <c r="L30" s="310">
        <v>170.0</v>
      </c>
      <c r="M30" s="312">
        <v>55.0</v>
      </c>
      <c r="N30" s="310">
        <v>0.504</v>
      </c>
      <c r="O30" s="313"/>
      <c r="P30" s="314"/>
      <c r="Q30" s="313"/>
      <c r="R30" s="314"/>
      <c r="S30" s="312" t="s">
        <v>428</v>
      </c>
      <c r="T30" s="314" t="s">
        <v>429</v>
      </c>
      <c r="U30" s="312" t="s">
        <v>428</v>
      </c>
      <c r="V30" s="310" t="s">
        <v>430</v>
      </c>
      <c r="W30" s="313"/>
      <c r="X30" s="310" t="s">
        <v>431</v>
      </c>
      <c r="Y30" s="313"/>
      <c r="Z30" s="314"/>
      <c r="AA30" s="313"/>
      <c r="AB30" s="314"/>
      <c r="AC30" s="313"/>
      <c r="AD30" s="310"/>
      <c r="AE30" s="313"/>
      <c r="AF30" s="314"/>
      <c r="AG30" s="315" t="s">
        <v>432</v>
      </c>
    </row>
    <row r="31" ht="43.5" customHeight="1">
      <c r="A31" s="316" t="s">
        <v>423</v>
      </c>
      <c r="B31" s="317"/>
      <c r="C31" s="318" t="s">
        <v>433</v>
      </c>
      <c r="D31" s="224" t="s">
        <v>434</v>
      </c>
      <c r="E31" s="215"/>
      <c r="F31" s="317" t="s">
        <v>435</v>
      </c>
      <c r="G31" s="215"/>
      <c r="H31" s="317"/>
      <c r="I31" s="215"/>
      <c r="J31" s="317" t="s">
        <v>427</v>
      </c>
      <c r="K31" s="215">
        <v>230.0</v>
      </c>
      <c r="L31" s="317">
        <v>183.0</v>
      </c>
      <c r="M31" s="215">
        <v>100.0</v>
      </c>
      <c r="N31" s="317">
        <v>0.597</v>
      </c>
      <c r="O31" s="216"/>
      <c r="P31" s="319"/>
      <c r="Q31" s="216"/>
      <c r="R31" s="319"/>
      <c r="S31" s="215" t="s">
        <v>436</v>
      </c>
      <c r="T31" s="319" t="s">
        <v>437</v>
      </c>
      <c r="U31" s="215" t="s">
        <v>436</v>
      </c>
      <c r="V31" s="317" t="s">
        <v>438</v>
      </c>
      <c r="W31" s="216"/>
      <c r="X31" s="317" t="s">
        <v>431</v>
      </c>
      <c r="Y31" s="216"/>
      <c r="Z31" s="319"/>
      <c r="AA31" s="216"/>
      <c r="AB31" s="319"/>
      <c r="AC31" s="216"/>
      <c r="AD31" s="317"/>
      <c r="AE31" s="216"/>
      <c r="AF31" s="319"/>
      <c r="AG31" s="320" t="s">
        <v>432</v>
      </c>
    </row>
    <row r="32" ht="13.5" customHeight="1">
      <c r="A32" s="211"/>
      <c r="B32" s="210"/>
      <c r="C32" s="210"/>
      <c r="D32" s="211"/>
      <c r="E32" s="210"/>
      <c r="F32" s="210"/>
      <c r="G32" s="210"/>
      <c r="H32" s="210"/>
      <c r="I32" s="210"/>
      <c r="J32" s="210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  <c r="AD32" s="210"/>
      <c r="AE32" s="211"/>
      <c r="AF32" s="211"/>
      <c r="AG32" s="8"/>
    </row>
    <row r="33" ht="13.5" customHeight="1">
      <c r="A33" s="211"/>
      <c r="B33" s="210"/>
      <c r="C33" s="210"/>
      <c r="D33" s="211"/>
      <c r="E33" s="210"/>
      <c r="F33" s="210"/>
      <c r="G33" s="210"/>
      <c r="H33" s="210"/>
      <c r="I33" s="210"/>
      <c r="J33" s="210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  <c r="AD33" s="210"/>
      <c r="AE33" s="211"/>
      <c r="AF33" s="211"/>
      <c r="AG33" s="8"/>
    </row>
    <row r="34" ht="13.5" customHeight="1">
      <c r="A34" s="211"/>
      <c r="B34" s="210"/>
      <c r="C34" s="210"/>
      <c r="D34" s="211"/>
      <c r="E34" s="210"/>
      <c r="F34" s="210"/>
      <c r="G34" s="210"/>
      <c r="H34" s="210"/>
      <c r="I34" s="210"/>
      <c r="J34" s="210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  <c r="AD34" s="210"/>
      <c r="AE34" s="211"/>
      <c r="AF34" s="211"/>
      <c r="AG34" s="8"/>
    </row>
    <row r="35" ht="13.5" customHeight="1">
      <c r="A35" s="211"/>
      <c r="B35" s="210"/>
      <c r="C35" s="210"/>
      <c r="D35" s="211"/>
      <c r="E35" s="210"/>
      <c r="F35" s="210"/>
      <c r="G35" s="210"/>
      <c r="H35" s="210"/>
      <c r="I35" s="210"/>
      <c r="J35" s="210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0"/>
      <c r="AE35" s="211"/>
      <c r="AF35" s="211"/>
      <c r="AG35" s="8"/>
    </row>
    <row r="36" ht="13.5" customHeight="1">
      <c r="A36" s="211"/>
      <c r="B36" s="210"/>
      <c r="C36" s="210"/>
      <c r="D36" s="211"/>
      <c r="E36" s="210"/>
      <c r="F36" s="210"/>
      <c r="G36" s="210"/>
      <c r="H36" s="210"/>
      <c r="I36" s="210"/>
      <c r="J36" s="210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0"/>
      <c r="AE36" s="211"/>
      <c r="AF36" s="211"/>
      <c r="AG36" s="8"/>
    </row>
    <row r="37" ht="13.5" customHeight="1">
      <c r="A37" s="211"/>
      <c r="B37" s="210"/>
      <c r="C37" s="210"/>
      <c r="D37" s="211"/>
      <c r="E37" s="210"/>
      <c r="F37" s="210"/>
      <c r="G37" s="210"/>
      <c r="H37" s="210"/>
      <c r="I37" s="210"/>
      <c r="J37" s="210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0"/>
      <c r="AE37" s="211"/>
      <c r="AF37" s="211"/>
      <c r="AG37" s="8"/>
    </row>
    <row r="38" ht="13.5" customHeight="1">
      <c r="A38" s="211"/>
      <c r="B38" s="210"/>
      <c r="C38" s="210"/>
      <c r="D38" s="211"/>
      <c r="E38" s="210"/>
      <c r="F38" s="210"/>
      <c r="G38" s="210"/>
      <c r="H38" s="210"/>
      <c r="I38" s="210"/>
      <c r="J38" s="210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0"/>
      <c r="AE38" s="211"/>
      <c r="AF38" s="211"/>
      <c r="AG38" s="8"/>
    </row>
    <row r="39" ht="13.5" customHeight="1">
      <c r="A39" s="211"/>
      <c r="B39" s="210"/>
      <c r="C39" s="210"/>
      <c r="D39" s="211"/>
      <c r="E39" s="210"/>
      <c r="F39" s="210"/>
      <c r="G39" s="210"/>
      <c r="H39" s="210"/>
      <c r="I39" s="210"/>
      <c r="J39" s="210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0"/>
      <c r="AE39" s="211"/>
      <c r="AF39" s="211"/>
      <c r="AG39" s="8"/>
    </row>
    <row r="40" ht="13.5" customHeight="1">
      <c r="A40" s="211"/>
      <c r="B40" s="210"/>
      <c r="C40" s="210"/>
      <c r="D40" s="211"/>
      <c r="E40" s="210"/>
      <c r="F40" s="210"/>
      <c r="G40" s="210"/>
      <c r="H40" s="210"/>
      <c r="I40" s="210"/>
      <c r="J40" s="210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0"/>
      <c r="AE40" s="211"/>
      <c r="AF40" s="211"/>
      <c r="AG40" s="8"/>
    </row>
    <row r="41" ht="13.5" customHeight="1">
      <c r="A41" s="211"/>
      <c r="B41" s="210"/>
      <c r="C41" s="210"/>
      <c r="D41" s="211"/>
      <c r="E41" s="210"/>
      <c r="F41" s="210"/>
      <c r="G41" s="210"/>
      <c r="H41" s="210"/>
      <c r="I41" s="210"/>
      <c r="J41" s="210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0"/>
      <c r="AE41" s="211"/>
      <c r="AF41" s="211"/>
      <c r="AG41" s="8"/>
    </row>
    <row r="42" ht="13.5" customHeight="1">
      <c r="A42" s="211"/>
      <c r="B42" s="210"/>
      <c r="C42" s="210"/>
      <c r="D42" s="211"/>
      <c r="E42" s="210"/>
      <c r="F42" s="210"/>
      <c r="G42" s="210"/>
      <c r="H42" s="210"/>
      <c r="I42" s="210"/>
      <c r="J42" s="210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0"/>
      <c r="AE42" s="211"/>
      <c r="AF42" s="211"/>
      <c r="AG42" s="8"/>
    </row>
    <row r="43" ht="13.5" customHeight="1">
      <c r="A43" s="211"/>
      <c r="B43" s="210"/>
      <c r="C43" s="210"/>
      <c r="D43" s="211"/>
      <c r="E43" s="210"/>
      <c r="F43" s="210"/>
      <c r="G43" s="210"/>
      <c r="H43" s="210"/>
      <c r="I43" s="210"/>
      <c r="J43" s="210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0"/>
      <c r="AE43" s="211"/>
      <c r="AF43" s="211"/>
      <c r="AG43" s="8"/>
    </row>
    <row r="44" ht="13.5" customHeight="1">
      <c r="A44" s="211"/>
      <c r="B44" s="210"/>
      <c r="C44" s="210"/>
      <c r="D44" s="211"/>
      <c r="E44" s="210"/>
      <c r="F44" s="210"/>
      <c r="G44" s="210"/>
      <c r="H44" s="210"/>
      <c r="I44" s="210"/>
      <c r="J44" s="210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0"/>
      <c r="AE44" s="211"/>
      <c r="AF44" s="211"/>
      <c r="AG44" s="8"/>
    </row>
    <row r="45" ht="13.5" customHeight="1">
      <c r="A45" s="211"/>
      <c r="B45" s="210"/>
      <c r="C45" s="210"/>
      <c r="D45" s="211"/>
      <c r="E45" s="210"/>
      <c r="F45" s="210"/>
      <c r="G45" s="210"/>
      <c r="H45" s="210"/>
      <c r="I45" s="210"/>
      <c r="J45" s="210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0"/>
      <c r="AE45" s="211"/>
      <c r="AF45" s="211"/>
      <c r="AG45" s="8"/>
    </row>
    <row r="46" ht="13.5" customHeight="1">
      <c r="A46" s="211"/>
      <c r="B46" s="210"/>
      <c r="C46" s="210"/>
      <c r="D46" s="211"/>
      <c r="E46" s="210"/>
      <c r="F46" s="210"/>
      <c r="G46" s="210"/>
      <c r="H46" s="210"/>
      <c r="I46" s="210"/>
      <c r="J46" s="210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0"/>
      <c r="AE46" s="211"/>
      <c r="AF46" s="211"/>
      <c r="AG46" s="8"/>
    </row>
    <row r="47" ht="13.5" customHeight="1">
      <c r="A47" s="211"/>
      <c r="B47" s="210"/>
      <c r="C47" s="210"/>
      <c r="D47" s="211"/>
      <c r="E47" s="210"/>
      <c r="F47" s="210"/>
      <c r="G47" s="210"/>
      <c r="H47" s="210"/>
      <c r="I47" s="210"/>
      <c r="J47" s="210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0"/>
      <c r="AE47" s="211"/>
      <c r="AF47" s="211"/>
      <c r="AG47" s="8"/>
    </row>
    <row r="48" ht="13.5" customHeight="1">
      <c r="A48" s="211"/>
      <c r="B48" s="210"/>
      <c r="C48" s="210"/>
      <c r="D48" s="211"/>
      <c r="E48" s="210"/>
      <c r="F48" s="210"/>
      <c r="G48" s="210"/>
      <c r="H48" s="210"/>
      <c r="I48" s="210"/>
      <c r="J48" s="210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0"/>
      <c r="AE48" s="211"/>
      <c r="AF48" s="211"/>
      <c r="AG48" s="8"/>
    </row>
    <row r="49" ht="13.5" customHeight="1">
      <c r="A49" s="211"/>
      <c r="B49" s="210"/>
      <c r="C49" s="210"/>
      <c r="D49" s="211"/>
      <c r="E49" s="210"/>
      <c r="F49" s="210"/>
      <c r="G49" s="210"/>
      <c r="H49" s="210"/>
      <c r="I49" s="210"/>
      <c r="J49" s="210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0"/>
      <c r="AE49" s="211"/>
      <c r="AF49" s="211"/>
      <c r="AG49" s="8"/>
    </row>
    <row r="50" ht="13.5" customHeight="1">
      <c r="A50" s="211"/>
      <c r="B50" s="210"/>
      <c r="C50" s="210"/>
      <c r="D50" s="211"/>
      <c r="E50" s="210"/>
      <c r="F50" s="210"/>
      <c r="G50" s="210"/>
      <c r="H50" s="210"/>
      <c r="I50" s="210"/>
      <c r="J50" s="210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0"/>
      <c r="AE50" s="211"/>
      <c r="AF50" s="211"/>
      <c r="AG50" s="8"/>
    </row>
    <row r="51" ht="13.5" customHeight="1">
      <c r="A51" s="211"/>
      <c r="B51" s="210"/>
      <c r="C51" s="210"/>
      <c r="D51" s="211"/>
      <c r="E51" s="210"/>
      <c r="F51" s="210"/>
      <c r="G51" s="210"/>
      <c r="H51" s="210"/>
      <c r="I51" s="210"/>
      <c r="J51" s="210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0"/>
      <c r="AE51" s="211"/>
      <c r="AF51" s="211"/>
      <c r="AG51" s="8"/>
    </row>
    <row r="52" ht="13.5" customHeight="1">
      <c r="A52" s="211"/>
      <c r="B52" s="210"/>
      <c r="C52" s="210"/>
      <c r="D52" s="211"/>
      <c r="E52" s="210"/>
      <c r="F52" s="210"/>
      <c r="G52" s="210"/>
      <c r="H52" s="210"/>
      <c r="I52" s="210"/>
      <c r="J52" s="210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0"/>
      <c r="AE52" s="211"/>
      <c r="AF52" s="211"/>
      <c r="AG52" s="8"/>
    </row>
    <row r="53" ht="13.5" customHeight="1">
      <c r="A53" s="211"/>
      <c r="B53" s="210"/>
      <c r="C53" s="210"/>
      <c r="D53" s="211"/>
      <c r="E53" s="210"/>
      <c r="F53" s="210"/>
      <c r="G53" s="210"/>
      <c r="H53" s="210"/>
      <c r="I53" s="210"/>
      <c r="J53" s="210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0"/>
      <c r="AE53" s="211"/>
      <c r="AF53" s="211"/>
      <c r="AG53" s="8"/>
    </row>
    <row r="54" ht="13.5" customHeight="1">
      <c r="A54" s="211"/>
      <c r="B54" s="210"/>
      <c r="C54" s="210"/>
      <c r="D54" s="211"/>
      <c r="E54" s="210"/>
      <c r="F54" s="210"/>
      <c r="G54" s="210"/>
      <c r="H54" s="210"/>
      <c r="I54" s="210"/>
      <c r="J54" s="210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1"/>
      <c r="AC54" s="211"/>
      <c r="AD54" s="210"/>
      <c r="AE54" s="211"/>
      <c r="AF54" s="211"/>
      <c r="AG54" s="8"/>
    </row>
    <row r="55" ht="13.5" customHeight="1">
      <c r="A55" s="211"/>
      <c r="B55" s="210"/>
      <c r="C55" s="210"/>
      <c r="D55" s="211"/>
      <c r="E55" s="210"/>
      <c r="F55" s="210"/>
      <c r="G55" s="210"/>
      <c r="H55" s="210"/>
      <c r="I55" s="210"/>
      <c r="J55" s="210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1"/>
      <c r="AB55" s="211"/>
      <c r="AC55" s="211"/>
      <c r="AD55" s="210"/>
      <c r="AE55" s="211"/>
      <c r="AF55" s="211"/>
      <c r="AG55" s="8"/>
    </row>
    <row r="56" ht="13.5" customHeight="1">
      <c r="A56" s="211"/>
      <c r="B56" s="210"/>
      <c r="C56" s="210"/>
      <c r="D56" s="211"/>
      <c r="E56" s="210"/>
      <c r="F56" s="210"/>
      <c r="G56" s="210"/>
      <c r="H56" s="210"/>
      <c r="I56" s="210"/>
      <c r="J56" s="210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1"/>
      <c r="AD56" s="210"/>
      <c r="AE56" s="211"/>
      <c r="AF56" s="211"/>
      <c r="AG56" s="8"/>
    </row>
    <row r="57" ht="13.5" customHeight="1">
      <c r="A57" s="211"/>
      <c r="B57" s="210"/>
      <c r="C57" s="210"/>
      <c r="D57" s="211"/>
      <c r="E57" s="210"/>
      <c r="F57" s="210"/>
      <c r="G57" s="210"/>
      <c r="H57" s="210"/>
      <c r="I57" s="210"/>
      <c r="J57" s="210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  <c r="AD57" s="210"/>
      <c r="AE57" s="211"/>
      <c r="AF57" s="211"/>
      <c r="AG57" s="8"/>
    </row>
    <row r="58" ht="13.5" customHeight="1">
      <c r="A58" s="211"/>
      <c r="B58" s="210"/>
      <c r="C58" s="210"/>
      <c r="D58" s="211"/>
      <c r="E58" s="210"/>
      <c r="F58" s="210"/>
      <c r="G58" s="210"/>
      <c r="H58" s="210"/>
      <c r="I58" s="210"/>
      <c r="J58" s="210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1"/>
      <c r="AC58" s="211"/>
      <c r="AD58" s="210"/>
      <c r="AE58" s="211"/>
      <c r="AF58" s="211"/>
      <c r="AG58" s="8"/>
    </row>
    <row r="59" ht="13.5" customHeight="1">
      <c r="A59" s="211"/>
      <c r="B59" s="210"/>
      <c r="C59" s="210"/>
      <c r="D59" s="211"/>
      <c r="E59" s="210"/>
      <c r="F59" s="210"/>
      <c r="G59" s="210"/>
      <c r="H59" s="210"/>
      <c r="I59" s="210"/>
      <c r="J59" s="210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  <c r="AA59" s="211"/>
      <c r="AB59" s="211"/>
      <c r="AC59" s="211"/>
      <c r="AD59" s="210"/>
      <c r="AE59" s="211"/>
      <c r="AF59" s="211"/>
      <c r="AG59" s="8"/>
    </row>
    <row r="60" ht="13.5" customHeight="1">
      <c r="A60" s="211"/>
      <c r="B60" s="210"/>
      <c r="C60" s="210"/>
      <c r="D60" s="211"/>
      <c r="E60" s="210"/>
      <c r="F60" s="210"/>
      <c r="G60" s="210"/>
      <c r="H60" s="210"/>
      <c r="I60" s="210"/>
      <c r="J60" s="210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  <c r="AA60" s="211"/>
      <c r="AB60" s="211"/>
      <c r="AC60" s="211"/>
      <c r="AD60" s="210"/>
      <c r="AE60" s="211"/>
      <c r="AF60" s="211"/>
      <c r="AG60" s="8"/>
    </row>
    <row r="61" ht="13.5" customHeight="1">
      <c r="A61" s="211"/>
      <c r="B61" s="210"/>
      <c r="C61" s="210"/>
      <c r="D61" s="211"/>
      <c r="E61" s="210"/>
      <c r="F61" s="210"/>
      <c r="G61" s="210"/>
      <c r="H61" s="210"/>
      <c r="I61" s="210"/>
      <c r="J61" s="210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  <c r="AA61" s="211"/>
      <c r="AB61" s="211"/>
      <c r="AC61" s="211"/>
      <c r="AD61" s="210"/>
      <c r="AE61" s="211"/>
      <c r="AF61" s="211"/>
      <c r="AG61" s="8"/>
    </row>
    <row r="62" ht="13.5" customHeight="1">
      <c r="A62" s="211"/>
      <c r="B62" s="210"/>
      <c r="C62" s="210"/>
      <c r="D62" s="211"/>
      <c r="E62" s="210"/>
      <c r="F62" s="210"/>
      <c r="G62" s="210"/>
      <c r="H62" s="210"/>
      <c r="I62" s="210"/>
      <c r="J62" s="210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  <c r="AA62" s="211"/>
      <c r="AB62" s="211"/>
      <c r="AC62" s="211"/>
      <c r="AD62" s="210"/>
      <c r="AE62" s="211"/>
      <c r="AF62" s="211"/>
      <c r="AG62" s="8"/>
    </row>
    <row r="63" ht="13.5" customHeight="1">
      <c r="A63" s="211"/>
      <c r="B63" s="210"/>
      <c r="C63" s="210"/>
      <c r="D63" s="211"/>
      <c r="E63" s="210"/>
      <c r="F63" s="210"/>
      <c r="G63" s="210"/>
      <c r="H63" s="210"/>
      <c r="I63" s="210"/>
      <c r="J63" s="210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  <c r="AA63" s="211"/>
      <c r="AB63" s="211"/>
      <c r="AC63" s="211"/>
      <c r="AD63" s="210"/>
      <c r="AE63" s="211"/>
      <c r="AF63" s="211"/>
      <c r="AG63" s="8"/>
    </row>
    <row r="64" ht="13.5" customHeight="1">
      <c r="A64" s="211"/>
      <c r="B64" s="210"/>
      <c r="C64" s="210"/>
      <c r="D64" s="211"/>
      <c r="E64" s="210"/>
      <c r="F64" s="210"/>
      <c r="G64" s="210"/>
      <c r="H64" s="210"/>
      <c r="I64" s="210"/>
      <c r="J64" s="210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  <c r="AA64" s="211"/>
      <c r="AB64" s="211"/>
      <c r="AC64" s="211"/>
      <c r="AD64" s="210"/>
      <c r="AE64" s="211"/>
      <c r="AF64" s="211"/>
      <c r="AG64" s="8"/>
    </row>
    <row r="65" ht="13.5" customHeight="1">
      <c r="A65" s="211"/>
      <c r="B65" s="210"/>
      <c r="C65" s="210"/>
      <c r="D65" s="211"/>
      <c r="E65" s="210"/>
      <c r="F65" s="210"/>
      <c r="G65" s="210"/>
      <c r="H65" s="210"/>
      <c r="I65" s="210"/>
      <c r="J65" s="210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  <c r="AA65" s="211"/>
      <c r="AB65" s="211"/>
      <c r="AC65" s="211"/>
      <c r="AD65" s="210"/>
      <c r="AE65" s="211"/>
      <c r="AF65" s="211"/>
      <c r="AG65" s="8"/>
    </row>
    <row r="66" ht="13.5" customHeight="1">
      <c r="A66" s="211"/>
      <c r="B66" s="210"/>
      <c r="C66" s="210"/>
      <c r="D66" s="211"/>
      <c r="E66" s="210"/>
      <c r="F66" s="210"/>
      <c r="G66" s="210"/>
      <c r="H66" s="210"/>
      <c r="I66" s="210"/>
      <c r="J66" s="210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1"/>
      <c r="AB66" s="211"/>
      <c r="AC66" s="211"/>
      <c r="AD66" s="210"/>
      <c r="AE66" s="211"/>
      <c r="AF66" s="211"/>
      <c r="AG66" s="8"/>
    </row>
    <row r="67" ht="13.5" customHeight="1">
      <c r="A67" s="211"/>
      <c r="B67" s="210"/>
      <c r="C67" s="210"/>
      <c r="D67" s="211"/>
      <c r="E67" s="210"/>
      <c r="F67" s="210"/>
      <c r="G67" s="210"/>
      <c r="H67" s="210"/>
      <c r="I67" s="210"/>
      <c r="J67" s="210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0"/>
      <c r="AE67" s="211"/>
      <c r="AF67" s="211"/>
      <c r="AG67" s="8"/>
    </row>
    <row r="68" ht="13.5" customHeight="1">
      <c r="A68" s="211"/>
      <c r="B68" s="210"/>
      <c r="C68" s="210"/>
      <c r="D68" s="211"/>
      <c r="E68" s="210"/>
      <c r="F68" s="210"/>
      <c r="G68" s="210"/>
      <c r="H68" s="210"/>
      <c r="I68" s="210"/>
      <c r="J68" s="210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11"/>
      <c r="AB68" s="211"/>
      <c r="AC68" s="211"/>
      <c r="AD68" s="210"/>
      <c r="AE68" s="211"/>
      <c r="AF68" s="211"/>
      <c r="AG68" s="8"/>
    </row>
    <row r="69" ht="13.5" customHeight="1">
      <c r="A69" s="211"/>
      <c r="B69" s="210"/>
      <c r="C69" s="210"/>
      <c r="D69" s="211"/>
      <c r="E69" s="210"/>
      <c r="F69" s="210"/>
      <c r="G69" s="210"/>
      <c r="H69" s="210"/>
      <c r="I69" s="210"/>
      <c r="J69" s="210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  <c r="AA69" s="211"/>
      <c r="AB69" s="211"/>
      <c r="AC69" s="211"/>
      <c r="AD69" s="210"/>
      <c r="AE69" s="211"/>
      <c r="AF69" s="211"/>
      <c r="AG69" s="8"/>
    </row>
    <row r="70" ht="13.5" customHeight="1">
      <c r="A70" s="211"/>
      <c r="B70" s="210"/>
      <c r="C70" s="210"/>
      <c r="D70" s="211"/>
      <c r="E70" s="210"/>
      <c r="F70" s="210"/>
      <c r="G70" s="210"/>
      <c r="H70" s="210"/>
      <c r="I70" s="210"/>
      <c r="J70" s="210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11"/>
      <c r="AB70" s="211"/>
      <c r="AC70" s="211"/>
      <c r="AD70" s="210"/>
      <c r="AE70" s="211"/>
      <c r="AF70" s="211"/>
      <c r="AG70" s="8"/>
    </row>
    <row r="71" ht="13.5" customHeight="1">
      <c r="A71" s="211"/>
      <c r="B71" s="210"/>
      <c r="C71" s="210"/>
      <c r="D71" s="211"/>
      <c r="E71" s="210"/>
      <c r="F71" s="210"/>
      <c r="G71" s="210"/>
      <c r="H71" s="210"/>
      <c r="I71" s="210"/>
      <c r="J71" s="210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  <c r="Z71" s="211"/>
      <c r="AA71" s="211"/>
      <c r="AB71" s="211"/>
      <c r="AC71" s="211"/>
      <c r="AD71" s="210"/>
      <c r="AE71" s="211"/>
      <c r="AF71" s="211"/>
      <c r="AG71" s="8"/>
    </row>
    <row r="72" ht="13.5" customHeight="1">
      <c r="A72" s="211"/>
      <c r="B72" s="210"/>
      <c r="C72" s="210"/>
      <c r="D72" s="211"/>
      <c r="E72" s="210"/>
      <c r="F72" s="210"/>
      <c r="G72" s="210"/>
      <c r="H72" s="210"/>
      <c r="I72" s="210"/>
      <c r="J72" s="210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  <c r="AD72" s="210"/>
      <c r="AE72" s="211"/>
      <c r="AF72" s="211"/>
      <c r="AG72" s="8"/>
    </row>
    <row r="73" ht="13.5" customHeight="1">
      <c r="A73" s="211"/>
      <c r="B73" s="210"/>
      <c r="C73" s="210"/>
      <c r="D73" s="211"/>
      <c r="E73" s="210"/>
      <c r="F73" s="210"/>
      <c r="G73" s="210"/>
      <c r="H73" s="210"/>
      <c r="I73" s="210"/>
      <c r="J73" s="210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  <c r="Z73" s="211"/>
      <c r="AA73" s="211"/>
      <c r="AB73" s="211"/>
      <c r="AC73" s="211"/>
      <c r="AD73" s="210"/>
      <c r="AE73" s="211"/>
      <c r="AF73" s="211"/>
      <c r="AG73" s="8"/>
    </row>
    <row r="74" ht="13.5" customHeight="1">
      <c r="A74" s="211"/>
      <c r="B74" s="210"/>
      <c r="C74" s="210"/>
      <c r="D74" s="211"/>
      <c r="E74" s="210"/>
      <c r="F74" s="210"/>
      <c r="G74" s="210"/>
      <c r="H74" s="210"/>
      <c r="I74" s="210"/>
      <c r="J74" s="210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11"/>
      <c r="AB74" s="211"/>
      <c r="AC74" s="211"/>
      <c r="AD74" s="210"/>
      <c r="AE74" s="211"/>
      <c r="AF74" s="211"/>
      <c r="AG74" s="8"/>
    </row>
    <row r="75" ht="13.5" customHeight="1">
      <c r="A75" s="211"/>
      <c r="B75" s="210"/>
      <c r="C75" s="210"/>
      <c r="D75" s="211"/>
      <c r="E75" s="210"/>
      <c r="F75" s="210"/>
      <c r="G75" s="210"/>
      <c r="H75" s="210"/>
      <c r="I75" s="210"/>
      <c r="J75" s="210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  <c r="AA75" s="211"/>
      <c r="AB75" s="211"/>
      <c r="AC75" s="211"/>
      <c r="AD75" s="210"/>
      <c r="AE75" s="211"/>
      <c r="AF75" s="211"/>
      <c r="AG75" s="8"/>
    </row>
    <row r="76" ht="13.5" customHeight="1">
      <c r="A76" s="211"/>
      <c r="B76" s="210"/>
      <c r="C76" s="210"/>
      <c r="D76" s="211"/>
      <c r="E76" s="210"/>
      <c r="F76" s="210"/>
      <c r="G76" s="210"/>
      <c r="H76" s="210"/>
      <c r="I76" s="210"/>
      <c r="J76" s="210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11"/>
      <c r="AA76" s="211"/>
      <c r="AB76" s="211"/>
      <c r="AC76" s="211"/>
      <c r="AD76" s="210"/>
      <c r="AE76" s="211"/>
      <c r="AF76" s="211"/>
      <c r="AG76" s="8"/>
    </row>
    <row r="77" ht="13.5" customHeight="1">
      <c r="A77" s="211"/>
      <c r="B77" s="210"/>
      <c r="C77" s="210"/>
      <c r="D77" s="211"/>
      <c r="E77" s="210"/>
      <c r="F77" s="210"/>
      <c r="G77" s="210"/>
      <c r="H77" s="210"/>
      <c r="I77" s="210"/>
      <c r="J77" s="210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11"/>
      <c r="AA77" s="211"/>
      <c r="AB77" s="211"/>
      <c r="AC77" s="211"/>
      <c r="AD77" s="210"/>
      <c r="AE77" s="211"/>
      <c r="AF77" s="211"/>
      <c r="AG77" s="8"/>
    </row>
    <row r="78" ht="13.5" customHeight="1">
      <c r="A78" s="211"/>
      <c r="B78" s="210"/>
      <c r="C78" s="210"/>
      <c r="D78" s="211"/>
      <c r="E78" s="210"/>
      <c r="F78" s="210"/>
      <c r="G78" s="210"/>
      <c r="H78" s="210"/>
      <c r="I78" s="210"/>
      <c r="J78" s="210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  <c r="Z78" s="211"/>
      <c r="AA78" s="211"/>
      <c r="AB78" s="211"/>
      <c r="AC78" s="211"/>
      <c r="AD78" s="210"/>
      <c r="AE78" s="211"/>
      <c r="AF78" s="211"/>
      <c r="AG78" s="8"/>
    </row>
    <row r="79" ht="13.5" customHeight="1">
      <c r="A79" s="211"/>
      <c r="B79" s="210"/>
      <c r="C79" s="210"/>
      <c r="D79" s="211"/>
      <c r="E79" s="210"/>
      <c r="F79" s="210"/>
      <c r="G79" s="210"/>
      <c r="H79" s="210"/>
      <c r="I79" s="210"/>
      <c r="J79" s="210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  <c r="Z79" s="211"/>
      <c r="AA79" s="211"/>
      <c r="AB79" s="211"/>
      <c r="AC79" s="211"/>
      <c r="AD79" s="210"/>
      <c r="AE79" s="211"/>
      <c r="AF79" s="211"/>
      <c r="AG79" s="8"/>
    </row>
    <row r="80" ht="13.5" customHeight="1">
      <c r="A80" s="211"/>
      <c r="B80" s="210"/>
      <c r="C80" s="210"/>
      <c r="D80" s="211"/>
      <c r="E80" s="210"/>
      <c r="F80" s="210"/>
      <c r="G80" s="210"/>
      <c r="H80" s="210"/>
      <c r="I80" s="210"/>
      <c r="J80" s="210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  <c r="AA80" s="211"/>
      <c r="AB80" s="211"/>
      <c r="AC80" s="211"/>
      <c r="AD80" s="210"/>
      <c r="AE80" s="211"/>
      <c r="AF80" s="211"/>
      <c r="AG80" s="8"/>
    </row>
    <row r="81" ht="13.5" customHeight="1">
      <c r="A81" s="211"/>
      <c r="B81" s="210"/>
      <c r="C81" s="210"/>
      <c r="D81" s="211"/>
      <c r="E81" s="210"/>
      <c r="F81" s="210"/>
      <c r="G81" s="210"/>
      <c r="H81" s="210"/>
      <c r="I81" s="210"/>
      <c r="J81" s="210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210"/>
      <c r="AE81" s="211"/>
      <c r="AF81" s="211"/>
      <c r="AG81" s="8"/>
    </row>
    <row r="82" ht="13.5" customHeight="1">
      <c r="A82" s="211"/>
      <c r="B82" s="210"/>
      <c r="C82" s="210"/>
      <c r="D82" s="211"/>
      <c r="E82" s="210"/>
      <c r="F82" s="210"/>
      <c r="G82" s="210"/>
      <c r="H82" s="210"/>
      <c r="I82" s="210"/>
      <c r="J82" s="210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  <c r="Z82" s="211"/>
      <c r="AA82" s="211"/>
      <c r="AB82" s="211"/>
      <c r="AC82" s="211"/>
      <c r="AD82" s="210"/>
      <c r="AE82" s="211"/>
      <c r="AF82" s="211"/>
      <c r="AG82" s="8"/>
    </row>
    <row r="83" ht="13.5" customHeight="1">
      <c r="A83" s="211"/>
      <c r="B83" s="210"/>
      <c r="C83" s="210"/>
      <c r="D83" s="211"/>
      <c r="E83" s="210"/>
      <c r="F83" s="210"/>
      <c r="G83" s="210"/>
      <c r="H83" s="210"/>
      <c r="I83" s="210"/>
      <c r="J83" s="210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  <c r="Z83" s="211"/>
      <c r="AA83" s="211"/>
      <c r="AB83" s="211"/>
      <c r="AC83" s="211"/>
      <c r="AD83" s="210"/>
      <c r="AE83" s="211"/>
      <c r="AF83" s="211"/>
      <c r="AG83" s="8"/>
    </row>
    <row r="84" ht="13.5" customHeight="1">
      <c r="A84" s="211"/>
      <c r="B84" s="210"/>
      <c r="C84" s="210"/>
      <c r="D84" s="211"/>
      <c r="E84" s="210"/>
      <c r="F84" s="210"/>
      <c r="G84" s="210"/>
      <c r="H84" s="210"/>
      <c r="I84" s="210"/>
      <c r="J84" s="210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  <c r="Z84" s="211"/>
      <c r="AA84" s="211"/>
      <c r="AB84" s="211"/>
      <c r="AC84" s="211"/>
      <c r="AD84" s="210"/>
      <c r="AE84" s="211"/>
      <c r="AF84" s="211"/>
      <c r="AG84" s="8"/>
    </row>
    <row r="85" ht="13.5" customHeight="1">
      <c r="A85" s="211"/>
      <c r="B85" s="210"/>
      <c r="C85" s="210"/>
      <c r="D85" s="211"/>
      <c r="E85" s="210"/>
      <c r="F85" s="210"/>
      <c r="G85" s="210"/>
      <c r="H85" s="210"/>
      <c r="I85" s="210"/>
      <c r="J85" s="210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  <c r="Z85" s="211"/>
      <c r="AA85" s="211"/>
      <c r="AB85" s="211"/>
      <c r="AC85" s="211"/>
      <c r="AD85" s="210"/>
      <c r="AE85" s="211"/>
      <c r="AF85" s="211"/>
      <c r="AG85" s="8"/>
    </row>
    <row r="86" ht="13.5" customHeight="1">
      <c r="A86" s="211"/>
      <c r="B86" s="210"/>
      <c r="C86" s="210"/>
      <c r="D86" s="211"/>
      <c r="E86" s="210"/>
      <c r="F86" s="210"/>
      <c r="G86" s="210"/>
      <c r="H86" s="210"/>
      <c r="I86" s="210"/>
      <c r="J86" s="210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  <c r="Z86" s="211"/>
      <c r="AA86" s="211"/>
      <c r="AB86" s="211"/>
      <c r="AC86" s="211"/>
      <c r="AD86" s="210"/>
      <c r="AE86" s="211"/>
      <c r="AF86" s="211"/>
      <c r="AG86" s="8"/>
    </row>
    <row r="87" ht="13.5" customHeight="1">
      <c r="A87" s="211"/>
      <c r="B87" s="210"/>
      <c r="C87" s="210"/>
      <c r="D87" s="211"/>
      <c r="E87" s="210"/>
      <c r="F87" s="210"/>
      <c r="G87" s="210"/>
      <c r="H87" s="210"/>
      <c r="I87" s="210"/>
      <c r="J87" s="210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  <c r="Z87" s="211"/>
      <c r="AA87" s="211"/>
      <c r="AB87" s="211"/>
      <c r="AC87" s="211"/>
      <c r="AD87" s="210"/>
      <c r="AE87" s="211"/>
      <c r="AF87" s="211"/>
      <c r="AG87" s="8"/>
    </row>
    <row r="88" ht="13.5" customHeight="1">
      <c r="A88" s="211"/>
      <c r="B88" s="210"/>
      <c r="C88" s="210"/>
      <c r="D88" s="211"/>
      <c r="E88" s="210"/>
      <c r="F88" s="210"/>
      <c r="G88" s="210"/>
      <c r="H88" s="210"/>
      <c r="I88" s="210"/>
      <c r="J88" s="210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  <c r="Z88" s="211"/>
      <c r="AA88" s="211"/>
      <c r="AB88" s="211"/>
      <c r="AC88" s="211"/>
      <c r="AD88" s="210"/>
      <c r="AE88" s="211"/>
      <c r="AF88" s="211"/>
      <c r="AG88" s="8"/>
    </row>
    <row r="89" ht="13.5" customHeight="1">
      <c r="A89" s="211"/>
      <c r="B89" s="210"/>
      <c r="C89" s="210"/>
      <c r="D89" s="211"/>
      <c r="E89" s="210"/>
      <c r="F89" s="210"/>
      <c r="G89" s="210"/>
      <c r="H89" s="210"/>
      <c r="I89" s="210"/>
      <c r="J89" s="210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  <c r="Z89" s="211"/>
      <c r="AA89" s="211"/>
      <c r="AB89" s="211"/>
      <c r="AC89" s="211"/>
      <c r="AD89" s="210"/>
      <c r="AE89" s="211"/>
      <c r="AF89" s="211"/>
      <c r="AG89" s="8"/>
    </row>
    <row r="90" ht="13.5" customHeight="1">
      <c r="A90" s="211"/>
      <c r="B90" s="210"/>
      <c r="C90" s="210"/>
      <c r="D90" s="211"/>
      <c r="E90" s="210"/>
      <c r="F90" s="210"/>
      <c r="G90" s="210"/>
      <c r="H90" s="210"/>
      <c r="I90" s="210"/>
      <c r="J90" s="210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  <c r="Z90" s="211"/>
      <c r="AA90" s="211"/>
      <c r="AB90" s="211"/>
      <c r="AC90" s="211"/>
      <c r="AD90" s="210"/>
      <c r="AE90" s="211"/>
      <c r="AF90" s="211"/>
      <c r="AG90" s="8"/>
    </row>
    <row r="91" ht="13.5" customHeight="1">
      <c r="A91" s="211"/>
      <c r="B91" s="210"/>
      <c r="C91" s="210"/>
      <c r="D91" s="211"/>
      <c r="E91" s="210"/>
      <c r="F91" s="210"/>
      <c r="G91" s="210"/>
      <c r="H91" s="210"/>
      <c r="I91" s="210"/>
      <c r="J91" s="210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  <c r="Z91" s="211"/>
      <c r="AA91" s="211"/>
      <c r="AB91" s="211"/>
      <c r="AC91" s="211"/>
      <c r="AD91" s="210"/>
      <c r="AE91" s="211"/>
      <c r="AF91" s="211"/>
      <c r="AG91" s="8"/>
    </row>
    <row r="92" ht="13.5" customHeight="1">
      <c r="A92" s="211"/>
      <c r="B92" s="210"/>
      <c r="C92" s="210"/>
      <c r="D92" s="211"/>
      <c r="E92" s="210"/>
      <c r="F92" s="210"/>
      <c r="G92" s="210"/>
      <c r="H92" s="210"/>
      <c r="I92" s="210"/>
      <c r="J92" s="210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  <c r="Z92" s="211"/>
      <c r="AA92" s="211"/>
      <c r="AB92" s="211"/>
      <c r="AC92" s="211"/>
      <c r="AD92" s="210"/>
      <c r="AE92" s="211"/>
      <c r="AF92" s="211"/>
      <c r="AG92" s="8"/>
    </row>
    <row r="93" ht="13.5" customHeight="1">
      <c r="A93" s="211"/>
      <c r="B93" s="210"/>
      <c r="C93" s="210"/>
      <c r="D93" s="211"/>
      <c r="E93" s="210"/>
      <c r="F93" s="210"/>
      <c r="G93" s="210"/>
      <c r="H93" s="210"/>
      <c r="I93" s="210"/>
      <c r="J93" s="210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  <c r="Z93" s="211"/>
      <c r="AA93" s="211"/>
      <c r="AB93" s="211"/>
      <c r="AC93" s="211"/>
      <c r="AD93" s="210"/>
      <c r="AE93" s="211"/>
      <c r="AF93" s="211"/>
      <c r="AG93" s="8"/>
    </row>
    <row r="94" ht="13.5" customHeight="1">
      <c r="A94" s="211"/>
      <c r="B94" s="210"/>
      <c r="C94" s="210"/>
      <c r="D94" s="211"/>
      <c r="E94" s="210"/>
      <c r="F94" s="210"/>
      <c r="G94" s="210"/>
      <c r="H94" s="210"/>
      <c r="I94" s="210"/>
      <c r="J94" s="210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  <c r="Z94" s="211"/>
      <c r="AA94" s="211"/>
      <c r="AB94" s="211"/>
      <c r="AC94" s="211"/>
      <c r="AD94" s="210"/>
      <c r="AE94" s="211"/>
      <c r="AF94" s="211"/>
      <c r="AG94" s="8"/>
    </row>
    <row r="95" ht="13.5" customHeight="1">
      <c r="A95" s="211"/>
      <c r="B95" s="210"/>
      <c r="C95" s="210"/>
      <c r="D95" s="211"/>
      <c r="E95" s="210"/>
      <c r="F95" s="210"/>
      <c r="G95" s="210"/>
      <c r="H95" s="210"/>
      <c r="I95" s="210"/>
      <c r="J95" s="210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  <c r="Z95" s="211"/>
      <c r="AA95" s="211"/>
      <c r="AB95" s="211"/>
      <c r="AC95" s="211"/>
      <c r="AD95" s="210"/>
      <c r="AE95" s="211"/>
      <c r="AF95" s="211"/>
      <c r="AG95" s="8"/>
    </row>
    <row r="96" ht="13.5" customHeight="1">
      <c r="A96" s="211"/>
      <c r="B96" s="210"/>
      <c r="C96" s="210"/>
      <c r="D96" s="211"/>
      <c r="E96" s="210"/>
      <c r="F96" s="210"/>
      <c r="G96" s="210"/>
      <c r="H96" s="210"/>
      <c r="I96" s="210"/>
      <c r="J96" s="210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  <c r="Z96" s="211"/>
      <c r="AA96" s="211"/>
      <c r="AB96" s="211"/>
      <c r="AC96" s="211"/>
      <c r="AD96" s="210"/>
      <c r="AE96" s="211"/>
      <c r="AF96" s="211"/>
      <c r="AG96" s="8"/>
    </row>
    <row r="97" ht="13.5" customHeight="1">
      <c r="A97" s="211"/>
      <c r="B97" s="210"/>
      <c r="C97" s="210"/>
      <c r="D97" s="211"/>
      <c r="E97" s="210"/>
      <c r="F97" s="210"/>
      <c r="G97" s="210"/>
      <c r="H97" s="210"/>
      <c r="I97" s="210"/>
      <c r="J97" s="210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  <c r="Z97" s="211"/>
      <c r="AA97" s="211"/>
      <c r="AB97" s="211"/>
      <c r="AC97" s="211"/>
      <c r="AD97" s="210"/>
      <c r="AE97" s="211"/>
      <c r="AF97" s="211"/>
      <c r="AG97" s="8"/>
    </row>
    <row r="98" ht="13.5" customHeight="1">
      <c r="A98" s="211"/>
      <c r="B98" s="210"/>
      <c r="C98" s="210"/>
      <c r="D98" s="211"/>
      <c r="E98" s="210"/>
      <c r="F98" s="210"/>
      <c r="G98" s="210"/>
      <c r="H98" s="210"/>
      <c r="I98" s="210"/>
      <c r="J98" s="210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  <c r="Z98" s="211"/>
      <c r="AA98" s="211"/>
      <c r="AB98" s="211"/>
      <c r="AC98" s="211"/>
      <c r="AD98" s="210"/>
      <c r="AE98" s="211"/>
      <c r="AF98" s="211"/>
      <c r="AG98" s="8"/>
    </row>
    <row r="99" ht="13.5" customHeight="1">
      <c r="A99" s="211"/>
      <c r="B99" s="210"/>
      <c r="C99" s="210"/>
      <c r="D99" s="211"/>
      <c r="E99" s="210"/>
      <c r="F99" s="210"/>
      <c r="G99" s="210"/>
      <c r="H99" s="210"/>
      <c r="I99" s="210"/>
      <c r="J99" s="210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  <c r="AC99" s="211"/>
      <c r="AD99" s="210"/>
      <c r="AE99" s="211"/>
      <c r="AF99" s="211"/>
      <c r="AG99" s="8"/>
    </row>
    <row r="100" ht="13.5" customHeight="1">
      <c r="A100" s="211"/>
      <c r="B100" s="210"/>
      <c r="C100" s="210"/>
      <c r="D100" s="211"/>
      <c r="E100" s="210"/>
      <c r="F100" s="210"/>
      <c r="G100" s="210"/>
      <c r="H100" s="210"/>
      <c r="I100" s="210"/>
      <c r="J100" s="210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  <c r="Z100" s="211"/>
      <c r="AA100" s="211"/>
      <c r="AB100" s="211"/>
      <c r="AC100" s="211"/>
      <c r="AD100" s="210"/>
      <c r="AE100" s="211"/>
      <c r="AF100" s="211"/>
      <c r="AG100" s="8"/>
    </row>
    <row r="101" ht="13.5" customHeight="1">
      <c r="A101" s="211"/>
      <c r="B101" s="210"/>
      <c r="C101" s="210"/>
      <c r="D101" s="211"/>
      <c r="E101" s="210"/>
      <c r="F101" s="210"/>
      <c r="G101" s="210"/>
      <c r="H101" s="210"/>
      <c r="I101" s="210"/>
      <c r="J101" s="210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  <c r="Z101" s="211"/>
      <c r="AA101" s="211"/>
      <c r="AB101" s="211"/>
      <c r="AC101" s="211"/>
      <c r="AD101" s="210"/>
      <c r="AE101" s="211"/>
      <c r="AF101" s="211"/>
      <c r="AG101" s="8"/>
    </row>
    <row r="102" ht="13.5" customHeight="1">
      <c r="A102" s="211"/>
      <c r="B102" s="210"/>
      <c r="C102" s="210"/>
      <c r="D102" s="211"/>
      <c r="E102" s="210"/>
      <c r="F102" s="210"/>
      <c r="G102" s="210"/>
      <c r="H102" s="210"/>
      <c r="I102" s="210"/>
      <c r="J102" s="210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11"/>
      <c r="AA102" s="211"/>
      <c r="AB102" s="211"/>
      <c r="AC102" s="211"/>
      <c r="AD102" s="210"/>
      <c r="AE102" s="211"/>
      <c r="AF102" s="211"/>
      <c r="AG102" s="8"/>
    </row>
    <row r="103" ht="13.5" customHeight="1">
      <c r="A103" s="211"/>
      <c r="B103" s="210"/>
      <c r="C103" s="210"/>
      <c r="D103" s="211"/>
      <c r="E103" s="210"/>
      <c r="F103" s="210"/>
      <c r="G103" s="210"/>
      <c r="H103" s="210"/>
      <c r="I103" s="210"/>
      <c r="J103" s="210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11"/>
      <c r="AB103" s="211"/>
      <c r="AC103" s="211"/>
      <c r="AD103" s="210"/>
      <c r="AE103" s="211"/>
      <c r="AF103" s="211"/>
      <c r="AG103" s="8"/>
    </row>
    <row r="104" ht="13.5" customHeight="1">
      <c r="A104" s="211"/>
      <c r="B104" s="210"/>
      <c r="C104" s="210"/>
      <c r="D104" s="211"/>
      <c r="E104" s="210"/>
      <c r="F104" s="210"/>
      <c r="G104" s="210"/>
      <c r="H104" s="210"/>
      <c r="I104" s="210"/>
      <c r="J104" s="210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11"/>
      <c r="AA104" s="211"/>
      <c r="AB104" s="211"/>
      <c r="AC104" s="211"/>
      <c r="AD104" s="210"/>
      <c r="AE104" s="211"/>
      <c r="AF104" s="211"/>
      <c r="AG104" s="8"/>
    </row>
    <row r="105" ht="13.5" customHeight="1">
      <c r="A105" s="211"/>
      <c r="B105" s="210"/>
      <c r="C105" s="210"/>
      <c r="D105" s="211"/>
      <c r="E105" s="210"/>
      <c r="F105" s="210"/>
      <c r="G105" s="210"/>
      <c r="H105" s="210"/>
      <c r="I105" s="210"/>
      <c r="J105" s="210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  <c r="AA105" s="211"/>
      <c r="AB105" s="211"/>
      <c r="AC105" s="211"/>
      <c r="AD105" s="210"/>
      <c r="AE105" s="211"/>
      <c r="AF105" s="211"/>
      <c r="AG105" s="8"/>
    </row>
    <row r="106" ht="13.5" customHeight="1">
      <c r="A106" s="211"/>
      <c r="B106" s="210"/>
      <c r="C106" s="210"/>
      <c r="D106" s="211"/>
      <c r="E106" s="210"/>
      <c r="F106" s="210"/>
      <c r="G106" s="210"/>
      <c r="H106" s="210"/>
      <c r="I106" s="210"/>
      <c r="J106" s="210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11"/>
      <c r="AA106" s="211"/>
      <c r="AB106" s="211"/>
      <c r="AC106" s="211"/>
      <c r="AD106" s="210"/>
      <c r="AE106" s="211"/>
      <c r="AF106" s="211"/>
      <c r="AG106" s="8"/>
    </row>
    <row r="107" ht="13.5" customHeight="1">
      <c r="A107" s="211"/>
      <c r="B107" s="210"/>
      <c r="C107" s="210"/>
      <c r="D107" s="211"/>
      <c r="E107" s="210"/>
      <c r="F107" s="210"/>
      <c r="G107" s="210"/>
      <c r="H107" s="210"/>
      <c r="I107" s="210"/>
      <c r="J107" s="210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11"/>
      <c r="AA107" s="211"/>
      <c r="AB107" s="211"/>
      <c r="AC107" s="211"/>
      <c r="AD107" s="210"/>
      <c r="AE107" s="211"/>
      <c r="AF107" s="211"/>
      <c r="AG107" s="8"/>
    </row>
    <row r="108" ht="13.5" customHeight="1">
      <c r="A108" s="211"/>
      <c r="B108" s="210"/>
      <c r="C108" s="210"/>
      <c r="D108" s="211"/>
      <c r="E108" s="210"/>
      <c r="F108" s="210"/>
      <c r="G108" s="210"/>
      <c r="H108" s="210"/>
      <c r="I108" s="210"/>
      <c r="J108" s="210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  <c r="AA108" s="211"/>
      <c r="AB108" s="211"/>
      <c r="AC108" s="211"/>
      <c r="AD108" s="210"/>
      <c r="AE108" s="211"/>
      <c r="AF108" s="211"/>
      <c r="AG108" s="8"/>
    </row>
    <row r="109" ht="13.5" customHeight="1">
      <c r="A109" s="211"/>
      <c r="B109" s="210"/>
      <c r="C109" s="210"/>
      <c r="D109" s="211"/>
      <c r="E109" s="210"/>
      <c r="F109" s="210"/>
      <c r="G109" s="210"/>
      <c r="H109" s="210"/>
      <c r="I109" s="210"/>
      <c r="J109" s="210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  <c r="AA109" s="211"/>
      <c r="AB109" s="211"/>
      <c r="AC109" s="211"/>
      <c r="AD109" s="210"/>
      <c r="AE109" s="211"/>
      <c r="AF109" s="211"/>
      <c r="AG109" s="8"/>
    </row>
    <row r="110" ht="13.5" customHeight="1">
      <c r="A110" s="211"/>
      <c r="B110" s="210"/>
      <c r="C110" s="210"/>
      <c r="D110" s="211"/>
      <c r="E110" s="210"/>
      <c r="F110" s="210"/>
      <c r="G110" s="210"/>
      <c r="H110" s="210"/>
      <c r="I110" s="210"/>
      <c r="J110" s="210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0"/>
      <c r="AE110" s="211"/>
      <c r="AF110" s="211"/>
      <c r="AG110" s="8"/>
    </row>
    <row r="111" ht="13.5" customHeight="1">
      <c r="A111" s="211"/>
      <c r="B111" s="210"/>
      <c r="C111" s="210"/>
      <c r="D111" s="211"/>
      <c r="E111" s="210"/>
      <c r="F111" s="210"/>
      <c r="G111" s="210"/>
      <c r="H111" s="210"/>
      <c r="I111" s="210"/>
      <c r="J111" s="210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11"/>
      <c r="AB111" s="211"/>
      <c r="AC111" s="211"/>
      <c r="AD111" s="210"/>
      <c r="AE111" s="211"/>
      <c r="AF111" s="211"/>
      <c r="AG111" s="8"/>
    </row>
    <row r="112" ht="13.5" customHeight="1">
      <c r="A112" s="211"/>
      <c r="B112" s="210"/>
      <c r="C112" s="210"/>
      <c r="D112" s="211"/>
      <c r="E112" s="210"/>
      <c r="F112" s="210"/>
      <c r="G112" s="210"/>
      <c r="H112" s="210"/>
      <c r="I112" s="210"/>
      <c r="J112" s="210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11"/>
      <c r="AB112" s="211"/>
      <c r="AC112" s="211"/>
      <c r="AD112" s="210"/>
      <c r="AE112" s="211"/>
      <c r="AF112" s="211"/>
      <c r="AG112" s="8"/>
    </row>
    <row r="113" ht="13.5" customHeight="1">
      <c r="A113" s="211"/>
      <c r="B113" s="210"/>
      <c r="C113" s="210"/>
      <c r="D113" s="211"/>
      <c r="E113" s="210"/>
      <c r="F113" s="210"/>
      <c r="G113" s="210"/>
      <c r="H113" s="210"/>
      <c r="I113" s="210"/>
      <c r="J113" s="210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  <c r="AA113" s="211"/>
      <c r="AB113" s="211"/>
      <c r="AC113" s="211"/>
      <c r="AD113" s="210"/>
      <c r="AE113" s="211"/>
      <c r="AF113" s="211"/>
      <c r="AG113" s="8"/>
    </row>
    <row r="114" ht="13.5" customHeight="1">
      <c r="A114" s="211"/>
      <c r="B114" s="210"/>
      <c r="C114" s="210"/>
      <c r="D114" s="211"/>
      <c r="E114" s="210"/>
      <c r="F114" s="210"/>
      <c r="G114" s="210"/>
      <c r="H114" s="210"/>
      <c r="I114" s="210"/>
      <c r="J114" s="210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11"/>
      <c r="AB114" s="211"/>
      <c r="AC114" s="211"/>
      <c r="AD114" s="210"/>
      <c r="AE114" s="211"/>
      <c r="AF114" s="211"/>
      <c r="AG114" s="8"/>
    </row>
    <row r="115" ht="13.5" customHeight="1">
      <c r="A115" s="211"/>
      <c r="B115" s="210"/>
      <c r="C115" s="210"/>
      <c r="D115" s="211"/>
      <c r="E115" s="210"/>
      <c r="F115" s="210"/>
      <c r="G115" s="210"/>
      <c r="H115" s="210"/>
      <c r="I115" s="210"/>
      <c r="J115" s="210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  <c r="Z115" s="211"/>
      <c r="AA115" s="211"/>
      <c r="AB115" s="211"/>
      <c r="AC115" s="211"/>
      <c r="AD115" s="210"/>
      <c r="AE115" s="211"/>
      <c r="AF115" s="211"/>
      <c r="AG115" s="8"/>
    </row>
    <row r="116" ht="13.5" customHeight="1">
      <c r="A116" s="211"/>
      <c r="B116" s="210"/>
      <c r="C116" s="210"/>
      <c r="D116" s="211"/>
      <c r="E116" s="210"/>
      <c r="F116" s="210"/>
      <c r="G116" s="210"/>
      <c r="H116" s="210"/>
      <c r="I116" s="210"/>
      <c r="J116" s="210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  <c r="Z116" s="211"/>
      <c r="AA116" s="211"/>
      <c r="AB116" s="211"/>
      <c r="AC116" s="211"/>
      <c r="AD116" s="210"/>
      <c r="AE116" s="211"/>
      <c r="AF116" s="211"/>
      <c r="AG116" s="8"/>
    </row>
    <row r="117" ht="13.5" customHeight="1">
      <c r="A117" s="211"/>
      <c r="B117" s="210"/>
      <c r="C117" s="210"/>
      <c r="D117" s="211"/>
      <c r="E117" s="210"/>
      <c r="F117" s="210"/>
      <c r="G117" s="210"/>
      <c r="H117" s="210"/>
      <c r="I117" s="210"/>
      <c r="J117" s="210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  <c r="Z117" s="211"/>
      <c r="AA117" s="211"/>
      <c r="AB117" s="211"/>
      <c r="AC117" s="211"/>
      <c r="AD117" s="210"/>
      <c r="AE117" s="211"/>
      <c r="AF117" s="211"/>
      <c r="AG117" s="8"/>
    </row>
    <row r="118" ht="13.5" customHeight="1">
      <c r="A118" s="211"/>
      <c r="B118" s="210"/>
      <c r="C118" s="210"/>
      <c r="D118" s="211"/>
      <c r="E118" s="210"/>
      <c r="F118" s="210"/>
      <c r="G118" s="210"/>
      <c r="H118" s="210"/>
      <c r="I118" s="210"/>
      <c r="J118" s="210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1"/>
      <c r="AA118" s="211"/>
      <c r="AB118" s="211"/>
      <c r="AC118" s="211"/>
      <c r="AD118" s="210"/>
      <c r="AE118" s="211"/>
      <c r="AF118" s="211"/>
      <c r="AG118" s="8"/>
    </row>
    <row r="119" ht="13.5" customHeight="1">
      <c r="A119" s="211"/>
      <c r="B119" s="210"/>
      <c r="C119" s="210"/>
      <c r="D119" s="211"/>
      <c r="E119" s="210"/>
      <c r="F119" s="210"/>
      <c r="G119" s="210"/>
      <c r="H119" s="210"/>
      <c r="I119" s="210"/>
      <c r="J119" s="210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  <c r="Z119" s="211"/>
      <c r="AA119" s="211"/>
      <c r="AB119" s="211"/>
      <c r="AC119" s="211"/>
      <c r="AD119" s="210"/>
      <c r="AE119" s="211"/>
      <c r="AF119" s="211"/>
      <c r="AG119" s="8"/>
    </row>
    <row r="120" ht="13.5" customHeight="1">
      <c r="A120" s="211"/>
      <c r="B120" s="210"/>
      <c r="C120" s="210"/>
      <c r="D120" s="211"/>
      <c r="E120" s="210"/>
      <c r="F120" s="210"/>
      <c r="G120" s="210"/>
      <c r="H120" s="210"/>
      <c r="I120" s="210"/>
      <c r="J120" s="210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  <c r="Z120" s="211"/>
      <c r="AA120" s="211"/>
      <c r="AB120" s="211"/>
      <c r="AC120" s="211"/>
      <c r="AD120" s="210"/>
      <c r="AE120" s="211"/>
      <c r="AF120" s="211"/>
      <c r="AG120" s="8"/>
    </row>
    <row r="121" ht="13.5" customHeight="1">
      <c r="A121" s="211"/>
      <c r="B121" s="210"/>
      <c r="C121" s="210"/>
      <c r="D121" s="211"/>
      <c r="E121" s="210"/>
      <c r="F121" s="210"/>
      <c r="G121" s="210"/>
      <c r="H121" s="210"/>
      <c r="I121" s="210"/>
      <c r="J121" s="210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  <c r="Z121" s="211"/>
      <c r="AA121" s="211"/>
      <c r="AB121" s="211"/>
      <c r="AC121" s="211"/>
      <c r="AD121" s="210"/>
      <c r="AE121" s="211"/>
      <c r="AF121" s="211"/>
      <c r="AG121" s="8"/>
    </row>
    <row r="122" ht="13.5" customHeight="1">
      <c r="A122" s="211"/>
      <c r="B122" s="210"/>
      <c r="C122" s="210"/>
      <c r="D122" s="211"/>
      <c r="E122" s="210"/>
      <c r="F122" s="210"/>
      <c r="G122" s="210"/>
      <c r="H122" s="210"/>
      <c r="I122" s="210"/>
      <c r="J122" s="210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  <c r="AA122" s="211"/>
      <c r="AB122" s="211"/>
      <c r="AC122" s="211"/>
      <c r="AD122" s="210"/>
      <c r="AE122" s="211"/>
      <c r="AF122" s="211"/>
      <c r="AG122" s="8"/>
    </row>
    <row r="123" ht="13.5" customHeight="1">
      <c r="A123" s="211"/>
      <c r="B123" s="210"/>
      <c r="C123" s="210"/>
      <c r="D123" s="211"/>
      <c r="E123" s="210"/>
      <c r="F123" s="210"/>
      <c r="G123" s="210"/>
      <c r="H123" s="210"/>
      <c r="I123" s="210"/>
      <c r="J123" s="210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11"/>
      <c r="AA123" s="211"/>
      <c r="AB123" s="211"/>
      <c r="AC123" s="211"/>
      <c r="AD123" s="210"/>
      <c r="AE123" s="211"/>
      <c r="AF123" s="211"/>
      <c r="AG123" s="8"/>
    </row>
    <row r="124" ht="13.5" customHeight="1">
      <c r="A124" s="211"/>
      <c r="B124" s="210"/>
      <c r="C124" s="210"/>
      <c r="D124" s="211"/>
      <c r="E124" s="210"/>
      <c r="F124" s="210"/>
      <c r="G124" s="210"/>
      <c r="H124" s="210"/>
      <c r="I124" s="210"/>
      <c r="J124" s="210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1"/>
      <c r="AA124" s="211"/>
      <c r="AB124" s="211"/>
      <c r="AC124" s="211"/>
      <c r="AD124" s="210"/>
      <c r="AE124" s="211"/>
      <c r="AF124" s="211"/>
      <c r="AG124" s="8"/>
    </row>
    <row r="125" ht="13.5" customHeight="1">
      <c r="A125" s="211"/>
      <c r="B125" s="210"/>
      <c r="C125" s="210"/>
      <c r="D125" s="211"/>
      <c r="E125" s="210"/>
      <c r="F125" s="210"/>
      <c r="G125" s="210"/>
      <c r="H125" s="210"/>
      <c r="I125" s="210"/>
      <c r="J125" s="210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  <c r="Z125" s="211"/>
      <c r="AA125" s="211"/>
      <c r="AB125" s="211"/>
      <c r="AC125" s="211"/>
      <c r="AD125" s="210"/>
      <c r="AE125" s="211"/>
      <c r="AF125" s="211"/>
      <c r="AG125" s="8"/>
    </row>
    <row r="126" ht="13.5" customHeight="1">
      <c r="A126" s="211"/>
      <c r="B126" s="210"/>
      <c r="C126" s="210"/>
      <c r="D126" s="211"/>
      <c r="E126" s="210"/>
      <c r="F126" s="210"/>
      <c r="G126" s="210"/>
      <c r="H126" s="210"/>
      <c r="I126" s="210"/>
      <c r="J126" s="210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  <c r="Z126" s="211"/>
      <c r="AA126" s="211"/>
      <c r="AB126" s="211"/>
      <c r="AC126" s="211"/>
      <c r="AD126" s="210"/>
      <c r="AE126" s="211"/>
      <c r="AF126" s="211"/>
      <c r="AG126" s="8"/>
    </row>
    <row r="127" ht="13.5" customHeight="1">
      <c r="A127" s="211"/>
      <c r="B127" s="210"/>
      <c r="C127" s="210"/>
      <c r="D127" s="211"/>
      <c r="E127" s="210"/>
      <c r="F127" s="210"/>
      <c r="G127" s="210"/>
      <c r="H127" s="210"/>
      <c r="I127" s="210"/>
      <c r="J127" s="210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  <c r="AA127" s="211"/>
      <c r="AB127" s="211"/>
      <c r="AC127" s="211"/>
      <c r="AD127" s="210"/>
      <c r="AE127" s="211"/>
      <c r="AF127" s="211"/>
      <c r="AG127" s="8"/>
    </row>
    <row r="128" ht="13.5" customHeight="1">
      <c r="A128" s="211"/>
      <c r="B128" s="210"/>
      <c r="C128" s="210"/>
      <c r="D128" s="211"/>
      <c r="E128" s="210"/>
      <c r="F128" s="210"/>
      <c r="G128" s="210"/>
      <c r="H128" s="210"/>
      <c r="I128" s="210"/>
      <c r="J128" s="210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  <c r="Z128" s="211"/>
      <c r="AA128" s="211"/>
      <c r="AB128" s="211"/>
      <c r="AC128" s="211"/>
      <c r="AD128" s="210"/>
      <c r="AE128" s="211"/>
      <c r="AF128" s="211"/>
      <c r="AG128" s="8"/>
    </row>
    <row r="129" ht="13.5" customHeight="1">
      <c r="A129" s="211"/>
      <c r="B129" s="210"/>
      <c r="C129" s="210"/>
      <c r="D129" s="211"/>
      <c r="E129" s="210"/>
      <c r="F129" s="210"/>
      <c r="G129" s="210"/>
      <c r="H129" s="210"/>
      <c r="I129" s="210"/>
      <c r="J129" s="210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  <c r="Z129" s="211"/>
      <c r="AA129" s="211"/>
      <c r="AB129" s="211"/>
      <c r="AC129" s="211"/>
      <c r="AD129" s="210"/>
      <c r="AE129" s="211"/>
      <c r="AF129" s="211"/>
      <c r="AG129" s="8"/>
    </row>
    <row r="130" ht="13.5" customHeight="1">
      <c r="A130" s="211"/>
      <c r="B130" s="210"/>
      <c r="C130" s="210"/>
      <c r="D130" s="211"/>
      <c r="E130" s="210"/>
      <c r="F130" s="210"/>
      <c r="G130" s="210"/>
      <c r="H130" s="210"/>
      <c r="I130" s="210"/>
      <c r="J130" s="210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1"/>
      <c r="AA130" s="211"/>
      <c r="AB130" s="211"/>
      <c r="AC130" s="211"/>
      <c r="AD130" s="210"/>
      <c r="AE130" s="211"/>
      <c r="AF130" s="211"/>
      <c r="AG130" s="8"/>
    </row>
    <row r="131" ht="13.5" customHeight="1">
      <c r="A131" s="211"/>
      <c r="B131" s="210"/>
      <c r="C131" s="210"/>
      <c r="D131" s="211"/>
      <c r="E131" s="210"/>
      <c r="F131" s="210"/>
      <c r="G131" s="210"/>
      <c r="H131" s="210"/>
      <c r="I131" s="210"/>
      <c r="J131" s="210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  <c r="Z131" s="211"/>
      <c r="AA131" s="211"/>
      <c r="AB131" s="211"/>
      <c r="AC131" s="211"/>
      <c r="AD131" s="210"/>
      <c r="AE131" s="211"/>
      <c r="AF131" s="211"/>
      <c r="AG131" s="8"/>
    </row>
    <row r="132" ht="13.5" customHeight="1">
      <c r="A132" s="211"/>
      <c r="B132" s="210"/>
      <c r="C132" s="210"/>
      <c r="D132" s="211"/>
      <c r="E132" s="210"/>
      <c r="F132" s="210"/>
      <c r="G132" s="210"/>
      <c r="H132" s="210"/>
      <c r="I132" s="210"/>
      <c r="J132" s="210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  <c r="Z132" s="211"/>
      <c r="AA132" s="211"/>
      <c r="AB132" s="211"/>
      <c r="AC132" s="211"/>
      <c r="AD132" s="210"/>
      <c r="AE132" s="211"/>
      <c r="AF132" s="211"/>
      <c r="AG132" s="8"/>
    </row>
    <row r="133" ht="13.5" customHeight="1">
      <c r="A133" s="211"/>
      <c r="B133" s="210"/>
      <c r="C133" s="210"/>
      <c r="D133" s="211"/>
      <c r="E133" s="210"/>
      <c r="F133" s="210"/>
      <c r="G133" s="210"/>
      <c r="H133" s="210"/>
      <c r="I133" s="210"/>
      <c r="J133" s="210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  <c r="Z133" s="211"/>
      <c r="AA133" s="211"/>
      <c r="AB133" s="211"/>
      <c r="AC133" s="211"/>
      <c r="AD133" s="210"/>
      <c r="AE133" s="211"/>
      <c r="AF133" s="211"/>
      <c r="AG133" s="8"/>
    </row>
    <row r="134" ht="13.5" customHeight="1">
      <c r="A134" s="211"/>
      <c r="B134" s="210"/>
      <c r="C134" s="210"/>
      <c r="D134" s="211"/>
      <c r="E134" s="210"/>
      <c r="F134" s="210"/>
      <c r="G134" s="210"/>
      <c r="H134" s="210"/>
      <c r="I134" s="210"/>
      <c r="J134" s="210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  <c r="Z134" s="211"/>
      <c r="AA134" s="211"/>
      <c r="AB134" s="211"/>
      <c r="AC134" s="211"/>
      <c r="AD134" s="210"/>
      <c r="AE134" s="211"/>
      <c r="AF134" s="211"/>
      <c r="AG134" s="8"/>
    </row>
    <row r="135" ht="13.5" customHeight="1">
      <c r="A135" s="211"/>
      <c r="B135" s="210"/>
      <c r="C135" s="210"/>
      <c r="D135" s="211"/>
      <c r="E135" s="210"/>
      <c r="F135" s="210"/>
      <c r="G135" s="210"/>
      <c r="H135" s="210"/>
      <c r="I135" s="210"/>
      <c r="J135" s="210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  <c r="Z135" s="211"/>
      <c r="AA135" s="211"/>
      <c r="AB135" s="211"/>
      <c r="AC135" s="211"/>
      <c r="AD135" s="210"/>
      <c r="AE135" s="211"/>
      <c r="AF135" s="211"/>
      <c r="AG135" s="8"/>
    </row>
    <row r="136" ht="13.5" customHeight="1">
      <c r="A136" s="211"/>
      <c r="B136" s="210"/>
      <c r="C136" s="210"/>
      <c r="D136" s="211"/>
      <c r="E136" s="210"/>
      <c r="F136" s="210"/>
      <c r="G136" s="210"/>
      <c r="H136" s="210"/>
      <c r="I136" s="210"/>
      <c r="J136" s="210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  <c r="Z136" s="211"/>
      <c r="AA136" s="211"/>
      <c r="AB136" s="211"/>
      <c r="AC136" s="211"/>
      <c r="AD136" s="210"/>
      <c r="AE136" s="211"/>
      <c r="AF136" s="211"/>
      <c r="AG136" s="8"/>
    </row>
    <row r="137" ht="13.5" customHeight="1">
      <c r="A137" s="211"/>
      <c r="B137" s="210"/>
      <c r="C137" s="210"/>
      <c r="D137" s="211"/>
      <c r="E137" s="210"/>
      <c r="F137" s="210"/>
      <c r="G137" s="210"/>
      <c r="H137" s="210"/>
      <c r="I137" s="210"/>
      <c r="J137" s="210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  <c r="Z137" s="211"/>
      <c r="AA137" s="211"/>
      <c r="AB137" s="211"/>
      <c r="AC137" s="211"/>
      <c r="AD137" s="210"/>
      <c r="AE137" s="211"/>
      <c r="AF137" s="211"/>
      <c r="AG137" s="8"/>
    </row>
    <row r="138" ht="13.5" customHeight="1">
      <c r="A138" s="211"/>
      <c r="B138" s="210"/>
      <c r="C138" s="210"/>
      <c r="D138" s="211"/>
      <c r="E138" s="210"/>
      <c r="F138" s="210"/>
      <c r="G138" s="210"/>
      <c r="H138" s="210"/>
      <c r="I138" s="210"/>
      <c r="J138" s="210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  <c r="Z138" s="211"/>
      <c r="AA138" s="211"/>
      <c r="AB138" s="211"/>
      <c r="AC138" s="211"/>
      <c r="AD138" s="210"/>
      <c r="AE138" s="211"/>
      <c r="AF138" s="211"/>
      <c r="AG138" s="8"/>
    </row>
    <row r="139" ht="13.5" customHeight="1">
      <c r="A139" s="211"/>
      <c r="B139" s="210"/>
      <c r="C139" s="210"/>
      <c r="D139" s="211"/>
      <c r="E139" s="210"/>
      <c r="F139" s="210"/>
      <c r="G139" s="210"/>
      <c r="H139" s="210"/>
      <c r="I139" s="210"/>
      <c r="J139" s="210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  <c r="Z139" s="211"/>
      <c r="AA139" s="211"/>
      <c r="AB139" s="211"/>
      <c r="AC139" s="211"/>
      <c r="AD139" s="210"/>
      <c r="AE139" s="211"/>
      <c r="AF139" s="211"/>
      <c r="AG139" s="8"/>
    </row>
    <row r="140" ht="13.5" customHeight="1">
      <c r="A140" s="211"/>
      <c r="B140" s="210"/>
      <c r="C140" s="210"/>
      <c r="D140" s="211"/>
      <c r="E140" s="210"/>
      <c r="F140" s="210"/>
      <c r="G140" s="210"/>
      <c r="H140" s="210"/>
      <c r="I140" s="210"/>
      <c r="J140" s="210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  <c r="Z140" s="211"/>
      <c r="AA140" s="211"/>
      <c r="AB140" s="211"/>
      <c r="AC140" s="211"/>
      <c r="AD140" s="210"/>
      <c r="AE140" s="211"/>
      <c r="AF140" s="211"/>
      <c r="AG140" s="8"/>
    </row>
    <row r="141" ht="13.5" customHeight="1">
      <c r="A141" s="211"/>
      <c r="B141" s="210"/>
      <c r="C141" s="210"/>
      <c r="D141" s="211"/>
      <c r="E141" s="210"/>
      <c r="F141" s="210"/>
      <c r="G141" s="210"/>
      <c r="H141" s="210"/>
      <c r="I141" s="210"/>
      <c r="J141" s="210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  <c r="Z141" s="211"/>
      <c r="AA141" s="211"/>
      <c r="AB141" s="211"/>
      <c r="AC141" s="211"/>
      <c r="AD141" s="210"/>
      <c r="AE141" s="211"/>
      <c r="AF141" s="211"/>
      <c r="AG141" s="8"/>
    </row>
    <row r="142" ht="13.5" customHeight="1">
      <c r="A142" s="211"/>
      <c r="B142" s="210"/>
      <c r="C142" s="210"/>
      <c r="D142" s="211"/>
      <c r="E142" s="210"/>
      <c r="F142" s="210"/>
      <c r="G142" s="210"/>
      <c r="H142" s="210"/>
      <c r="I142" s="210"/>
      <c r="J142" s="210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  <c r="Z142" s="211"/>
      <c r="AA142" s="211"/>
      <c r="AB142" s="211"/>
      <c r="AC142" s="211"/>
      <c r="AD142" s="210"/>
      <c r="AE142" s="211"/>
      <c r="AF142" s="211"/>
      <c r="AG142" s="8"/>
    </row>
    <row r="143" ht="13.5" customHeight="1">
      <c r="A143" s="211"/>
      <c r="B143" s="210"/>
      <c r="C143" s="210"/>
      <c r="D143" s="211"/>
      <c r="E143" s="210"/>
      <c r="F143" s="210"/>
      <c r="G143" s="210"/>
      <c r="H143" s="210"/>
      <c r="I143" s="210"/>
      <c r="J143" s="210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  <c r="Z143" s="211"/>
      <c r="AA143" s="211"/>
      <c r="AB143" s="211"/>
      <c r="AC143" s="211"/>
      <c r="AD143" s="210"/>
      <c r="AE143" s="211"/>
      <c r="AF143" s="211"/>
      <c r="AG143" s="8"/>
    </row>
    <row r="144" ht="13.5" customHeight="1">
      <c r="A144" s="211"/>
      <c r="B144" s="210"/>
      <c r="C144" s="210"/>
      <c r="D144" s="211"/>
      <c r="E144" s="210"/>
      <c r="F144" s="210"/>
      <c r="G144" s="210"/>
      <c r="H144" s="210"/>
      <c r="I144" s="210"/>
      <c r="J144" s="210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  <c r="Z144" s="211"/>
      <c r="AA144" s="211"/>
      <c r="AB144" s="211"/>
      <c r="AC144" s="211"/>
      <c r="AD144" s="210"/>
      <c r="AE144" s="211"/>
      <c r="AF144" s="211"/>
      <c r="AG144" s="8"/>
    </row>
    <row r="145" ht="13.5" customHeight="1">
      <c r="A145" s="211"/>
      <c r="B145" s="210"/>
      <c r="C145" s="210"/>
      <c r="D145" s="211"/>
      <c r="E145" s="210"/>
      <c r="F145" s="210"/>
      <c r="G145" s="210"/>
      <c r="H145" s="210"/>
      <c r="I145" s="210"/>
      <c r="J145" s="210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  <c r="Z145" s="211"/>
      <c r="AA145" s="211"/>
      <c r="AB145" s="211"/>
      <c r="AC145" s="211"/>
      <c r="AD145" s="210"/>
      <c r="AE145" s="211"/>
      <c r="AF145" s="211"/>
      <c r="AG145" s="8"/>
    </row>
    <row r="146" ht="13.5" customHeight="1">
      <c r="A146" s="211"/>
      <c r="B146" s="210"/>
      <c r="C146" s="210"/>
      <c r="D146" s="211"/>
      <c r="E146" s="210"/>
      <c r="F146" s="210"/>
      <c r="G146" s="210"/>
      <c r="H146" s="210"/>
      <c r="I146" s="210"/>
      <c r="J146" s="210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  <c r="Z146" s="211"/>
      <c r="AA146" s="211"/>
      <c r="AB146" s="211"/>
      <c r="AC146" s="211"/>
      <c r="AD146" s="210"/>
      <c r="AE146" s="211"/>
      <c r="AF146" s="211"/>
      <c r="AG146" s="8"/>
    </row>
    <row r="147" ht="13.5" customHeight="1">
      <c r="A147" s="211"/>
      <c r="B147" s="210"/>
      <c r="C147" s="210"/>
      <c r="D147" s="211"/>
      <c r="E147" s="210"/>
      <c r="F147" s="210"/>
      <c r="G147" s="210"/>
      <c r="H147" s="210"/>
      <c r="I147" s="210"/>
      <c r="J147" s="210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  <c r="Z147" s="211"/>
      <c r="AA147" s="211"/>
      <c r="AB147" s="211"/>
      <c r="AC147" s="211"/>
      <c r="AD147" s="210"/>
      <c r="AE147" s="211"/>
      <c r="AF147" s="211"/>
      <c r="AG147" s="8"/>
    </row>
    <row r="148" ht="13.5" customHeight="1">
      <c r="A148" s="211"/>
      <c r="B148" s="210"/>
      <c r="C148" s="210"/>
      <c r="D148" s="211"/>
      <c r="E148" s="210"/>
      <c r="F148" s="210"/>
      <c r="G148" s="210"/>
      <c r="H148" s="210"/>
      <c r="I148" s="210"/>
      <c r="J148" s="210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  <c r="Z148" s="211"/>
      <c r="AA148" s="211"/>
      <c r="AB148" s="211"/>
      <c r="AC148" s="211"/>
      <c r="AD148" s="210"/>
      <c r="AE148" s="211"/>
      <c r="AF148" s="211"/>
      <c r="AG148" s="8"/>
    </row>
    <row r="149" ht="13.5" customHeight="1">
      <c r="A149" s="211"/>
      <c r="B149" s="210"/>
      <c r="C149" s="210"/>
      <c r="D149" s="211"/>
      <c r="E149" s="210"/>
      <c r="F149" s="210"/>
      <c r="G149" s="210"/>
      <c r="H149" s="210"/>
      <c r="I149" s="210"/>
      <c r="J149" s="210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  <c r="Z149" s="211"/>
      <c r="AA149" s="211"/>
      <c r="AB149" s="211"/>
      <c r="AC149" s="211"/>
      <c r="AD149" s="210"/>
      <c r="AE149" s="211"/>
      <c r="AF149" s="211"/>
      <c r="AG149" s="8"/>
    </row>
    <row r="150" ht="13.5" customHeight="1">
      <c r="A150" s="211"/>
      <c r="B150" s="210"/>
      <c r="C150" s="210"/>
      <c r="D150" s="211"/>
      <c r="E150" s="210"/>
      <c r="F150" s="210"/>
      <c r="G150" s="210"/>
      <c r="H150" s="210"/>
      <c r="I150" s="210"/>
      <c r="J150" s="210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  <c r="Z150" s="211"/>
      <c r="AA150" s="211"/>
      <c r="AB150" s="211"/>
      <c r="AC150" s="211"/>
      <c r="AD150" s="210"/>
      <c r="AE150" s="211"/>
      <c r="AF150" s="211"/>
      <c r="AG150" s="8"/>
    </row>
    <row r="151" ht="13.5" customHeight="1">
      <c r="A151" s="211"/>
      <c r="B151" s="210"/>
      <c r="C151" s="210"/>
      <c r="D151" s="211"/>
      <c r="E151" s="210"/>
      <c r="F151" s="210"/>
      <c r="G151" s="210"/>
      <c r="H151" s="210"/>
      <c r="I151" s="210"/>
      <c r="J151" s="210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  <c r="Z151" s="211"/>
      <c r="AA151" s="211"/>
      <c r="AB151" s="211"/>
      <c r="AC151" s="211"/>
      <c r="AD151" s="210"/>
      <c r="AE151" s="211"/>
      <c r="AF151" s="211"/>
      <c r="AG151" s="8"/>
    </row>
    <row r="152" ht="13.5" customHeight="1">
      <c r="A152" s="211"/>
      <c r="B152" s="210"/>
      <c r="C152" s="210"/>
      <c r="D152" s="211"/>
      <c r="E152" s="210"/>
      <c r="F152" s="210"/>
      <c r="G152" s="210"/>
      <c r="H152" s="210"/>
      <c r="I152" s="210"/>
      <c r="J152" s="210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  <c r="Z152" s="211"/>
      <c r="AA152" s="211"/>
      <c r="AB152" s="211"/>
      <c r="AC152" s="211"/>
      <c r="AD152" s="210"/>
      <c r="AE152" s="211"/>
      <c r="AF152" s="211"/>
      <c r="AG152" s="8"/>
    </row>
    <row r="153" ht="13.5" customHeight="1">
      <c r="A153" s="211"/>
      <c r="B153" s="210"/>
      <c r="C153" s="210"/>
      <c r="D153" s="211"/>
      <c r="E153" s="210"/>
      <c r="F153" s="210"/>
      <c r="G153" s="210"/>
      <c r="H153" s="210"/>
      <c r="I153" s="210"/>
      <c r="J153" s="210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  <c r="Z153" s="211"/>
      <c r="AA153" s="211"/>
      <c r="AB153" s="211"/>
      <c r="AC153" s="211"/>
      <c r="AD153" s="210"/>
      <c r="AE153" s="211"/>
      <c r="AF153" s="211"/>
      <c r="AG153" s="8"/>
    </row>
    <row r="154" ht="13.5" customHeight="1">
      <c r="A154" s="211"/>
      <c r="B154" s="210"/>
      <c r="C154" s="210"/>
      <c r="D154" s="211"/>
      <c r="E154" s="210"/>
      <c r="F154" s="210"/>
      <c r="G154" s="210"/>
      <c r="H154" s="210"/>
      <c r="I154" s="210"/>
      <c r="J154" s="210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  <c r="Z154" s="211"/>
      <c r="AA154" s="211"/>
      <c r="AB154" s="211"/>
      <c r="AC154" s="211"/>
      <c r="AD154" s="210"/>
      <c r="AE154" s="211"/>
      <c r="AF154" s="211"/>
      <c r="AG154" s="8"/>
    </row>
    <row r="155" ht="13.5" customHeight="1">
      <c r="A155" s="211"/>
      <c r="B155" s="210"/>
      <c r="C155" s="210"/>
      <c r="D155" s="211"/>
      <c r="E155" s="210"/>
      <c r="F155" s="210"/>
      <c r="G155" s="210"/>
      <c r="H155" s="210"/>
      <c r="I155" s="210"/>
      <c r="J155" s="210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  <c r="Z155" s="211"/>
      <c r="AA155" s="211"/>
      <c r="AB155" s="211"/>
      <c r="AC155" s="211"/>
      <c r="AD155" s="210"/>
      <c r="AE155" s="211"/>
      <c r="AF155" s="211"/>
      <c r="AG155" s="8"/>
    </row>
    <row r="156" ht="13.5" customHeight="1">
      <c r="A156" s="211"/>
      <c r="B156" s="210"/>
      <c r="C156" s="210"/>
      <c r="D156" s="211"/>
      <c r="E156" s="210"/>
      <c r="F156" s="210"/>
      <c r="G156" s="210"/>
      <c r="H156" s="210"/>
      <c r="I156" s="210"/>
      <c r="J156" s="210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  <c r="Z156" s="211"/>
      <c r="AA156" s="211"/>
      <c r="AB156" s="211"/>
      <c r="AC156" s="211"/>
      <c r="AD156" s="210"/>
      <c r="AE156" s="211"/>
      <c r="AF156" s="211"/>
      <c r="AG156" s="8"/>
    </row>
    <row r="157" ht="13.5" customHeight="1">
      <c r="A157" s="211"/>
      <c r="B157" s="210"/>
      <c r="C157" s="210"/>
      <c r="D157" s="211"/>
      <c r="E157" s="210"/>
      <c r="F157" s="210"/>
      <c r="G157" s="210"/>
      <c r="H157" s="210"/>
      <c r="I157" s="210"/>
      <c r="J157" s="210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  <c r="Z157" s="211"/>
      <c r="AA157" s="211"/>
      <c r="AB157" s="211"/>
      <c r="AC157" s="211"/>
      <c r="AD157" s="210"/>
      <c r="AE157" s="211"/>
      <c r="AF157" s="211"/>
      <c r="AG157" s="8"/>
    </row>
    <row r="158" ht="13.5" customHeight="1">
      <c r="A158" s="211"/>
      <c r="B158" s="210"/>
      <c r="C158" s="210"/>
      <c r="D158" s="211"/>
      <c r="E158" s="210"/>
      <c r="F158" s="210"/>
      <c r="G158" s="210"/>
      <c r="H158" s="210"/>
      <c r="I158" s="210"/>
      <c r="J158" s="210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  <c r="Z158" s="211"/>
      <c r="AA158" s="211"/>
      <c r="AB158" s="211"/>
      <c r="AC158" s="211"/>
      <c r="AD158" s="210"/>
      <c r="AE158" s="211"/>
      <c r="AF158" s="211"/>
      <c r="AG158" s="8"/>
    </row>
    <row r="159" ht="13.5" customHeight="1">
      <c r="A159" s="211"/>
      <c r="B159" s="210"/>
      <c r="C159" s="210"/>
      <c r="D159" s="211"/>
      <c r="E159" s="210"/>
      <c r="F159" s="210"/>
      <c r="G159" s="210"/>
      <c r="H159" s="210"/>
      <c r="I159" s="210"/>
      <c r="J159" s="210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  <c r="Z159" s="211"/>
      <c r="AA159" s="211"/>
      <c r="AB159" s="211"/>
      <c r="AC159" s="211"/>
      <c r="AD159" s="210"/>
      <c r="AE159" s="211"/>
      <c r="AF159" s="211"/>
      <c r="AG159" s="8"/>
    </row>
    <row r="160" ht="13.5" customHeight="1">
      <c r="A160" s="211"/>
      <c r="B160" s="210"/>
      <c r="C160" s="210"/>
      <c r="D160" s="211"/>
      <c r="E160" s="210"/>
      <c r="F160" s="210"/>
      <c r="G160" s="210"/>
      <c r="H160" s="210"/>
      <c r="I160" s="210"/>
      <c r="J160" s="210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  <c r="Z160" s="211"/>
      <c r="AA160" s="211"/>
      <c r="AB160" s="211"/>
      <c r="AC160" s="211"/>
      <c r="AD160" s="210"/>
      <c r="AE160" s="211"/>
      <c r="AF160" s="211"/>
      <c r="AG160" s="8"/>
    </row>
    <row r="161" ht="13.5" customHeight="1">
      <c r="A161" s="211"/>
      <c r="B161" s="210"/>
      <c r="C161" s="210"/>
      <c r="D161" s="211"/>
      <c r="E161" s="210"/>
      <c r="F161" s="210"/>
      <c r="G161" s="210"/>
      <c r="H161" s="210"/>
      <c r="I161" s="210"/>
      <c r="J161" s="210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  <c r="Z161" s="211"/>
      <c r="AA161" s="211"/>
      <c r="AB161" s="211"/>
      <c r="AC161" s="211"/>
      <c r="AD161" s="210"/>
      <c r="AE161" s="211"/>
      <c r="AF161" s="211"/>
      <c r="AG161" s="8"/>
    </row>
    <row r="162" ht="13.5" customHeight="1">
      <c r="A162" s="211"/>
      <c r="B162" s="210"/>
      <c r="C162" s="210"/>
      <c r="D162" s="211"/>
      <c r="E162" s="210"/>
      <c r="F162" s="210"/>
      <c r="G162" s="210"/>
      <c r="H162" s="210"/>
      <c r="I162" s="210"/>
      <c r="J162" s="210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  <c r="Z162" s="211"/>
      <c r="AA162" s="211"/>
      <c r="AB162" s="211"/>
      <c r="AC162" s="211"/>
      <c r="AD162" s="210"/>
      <c r="AE162" s="211"/>
      <c r="AF162" s="211"/>
      <c r="AG162" s="8"/>
    </row>
    <row r="163" ht="13.5" customHeight="1">
      <c r="A163" s="211"/>
      <c r="B163" s="210"/>
      <c r="C163" s="210"/>
      <c r="D163" s="211"/>
      <c r="E163" s="210"/>
      <c r="F163" s="210"/>
      <c r="G163" s="210"/>
      <c r="H163" s="210"/>
      <c r="I163" s="210"/>
      <c r="J163" s="210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  <c r="Z163" s="211"/>
      <c r="AA163" s="211"/>
      <c r="AB163" s="211"/>
      <c r="AC163" s="211"/>
      <c r="AD163" s="210"/>
      <c r="AE163" s="211"/>
      <c r="AF163" s="211"/>
      <c r="AG163" s="8"/>
    </row>
    <row r="164" ht="13.5" customHeight="1">
      <c r="A164" s="211"/>
      <c r="B164" s="210"/>
      <c r="C164" s="210"/>
      <c r="D164" s="211"/>
      <c r="E164" s="210"/>
      <c r="F164" s="210"/>
      <c r="G164" s="210"/>
      <c r="H164" s="210"/>
      <c r="I164" s="210"/>
      <c r="J164" s="210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  <c r="Z164" s="211"/>
      <c r="AA164" s="211"/>
      <c r="AB164" s="211"/>
      <c r="AC164" s="211"/>
      <c r="AD164" s="210"/>
      <c r="AE164" s="211"/>
      <c r="AF164" s="211"/>
      <c r="AG164" s="8"/>
    </row>
    <row r="165" ht="13.5" customHeight="1">
      <c r="A165" s="211"/>
      <c r="B165" s="210"/>
      <c r="C165" s="210"/>
      <c r="D165" s="211"/>
      <c r="E165" s="210"/>
      <c r="F165" s="210"/>
      <c r="G165" s="210"/>
      <c r="H165" s="210"/>
      <c r="I165" s="210"/>
      <c r="J165" s="210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  <c r="Z165" s="211"/>
      <c r="AA165" s="211"/>
      <c r="AB165" s="211"/>
      <c r="AC165" s="211"/>
      <c r="AD165" s="210"/>
      <c r="AE165" s="211"/>
      <c r="AF165" s="211"/>
      <c r="AG165" s="8"/>
    </row>
    <row r="166" ht="13.5" customHeight="1">
      <c r="A166" s="211"/>
      <c r="B166" s="210"/>
      <c r="C166" s="210"/>
      <c r="D166" s="211"/>
      <c r="E166" s="210"/>
      <c r="F166" s="210"/>
      <c r="G166" s="210"/>
      <c r="H166" s="210"/>
      <c r="I166" s="210"/>
      <c r="J166" s="210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  <c r="Z166" s="211"/>
      <c r="AA166" s="211"/>
      <c r="AB166" s="211"/>
      <c r="AC166" s="211"/>
      <c r="AD166" s="210"/>
      <c r="AE166" s="211"/>
      <c r="AF166" s="211"/>
      <c r="AG166" s="8"/>
    </row>
    <row r="167" ht="13.5" customHeight="1">
      <c r="A167" s="211"/>
      <c r="B167" s="210"/>
      <c r="C167" s="210"/>
      <c r="D167" s="211"/>
      <c r="E167" s="210"/>
      <c r="F167" s="210"/>
      <c r="G167" s="210"/>
      <c r="H167" s="210"/>
      <c r="I167" s="210"/>
      <c r="J167" s="210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  <c r="Z167" s="211"/>
      <c r="AA167" s="211"/>
      <c r="AB167" s="211"/>
      <c r="AC167" s="211"/>
      <c r="AD167" s="210"/>
      <c r="AE167" s="211"/>
      <c r="AF167" s="211"/>
      <c r="AG167" s="8"/>
    </row>
    <row r="168" ht="13.5" customHeight="1">
      <c r="A168" s="211"/>
      <c r="B168" s="210"/>
      <c r="C168" s="210"/>
      <c r="D168" s="211"/>
      <c r="E168" s="210"/>
      <c r="F168" s="210"/>
      <c r="G168" s="210"/>
      <c r="H168" s="210"/>
      <c r="I168" s="210"/>
      <c r="J168" s="210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  <c r="Z168" s="211"/>
      <c r="AA168" s="211"/>
      <c r="AB168" s="211"/>
      <c r="AC168" s="211"/>
      <c r="AD168" s="210"/>
      <c r="AE168" s="211"/>
      <c r="AF168" s="211"/>
      <c r="AG168" s="8"/>
    </row>
    <row r="169" ht="13.5" customHeight="1">
      <c r="A169" s="211"/>
      <c r="B169" s="210"/>
      <c r="C169" s="210"/>
      <c r="D169" s="211"/>
      <c r="E169" s="210"/>
      <c r="F169" s="210"/>
      <c r="G169" s="210"/>
      <c r="H169" s="210"/>
      <c r="I169" s="210"/>
      <c r="J169" s="210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  <c r="Z169" s="211"/>
      <c r="AA169" s="211"/>
      <c r="AB169" s="211"/>
      <c r="AC169" s="211"/>
      <c r="AD169" s="210"/>
      <c r="AE169" s="211"/>
      <c r="AF169" s="211"/>
      <c r="AG169" s="8"/>
    </row>
    <row r="170" ht="13.5" customHeight="1">
      <c r="A170" s="211"/>
      <c r="B170" s="210"/>
      <c r="C170" s="210"/>
      <c r="D170" s="211"/>
      <c r="E170" s="210"/>
      <c r="F170" s="210"/>
      <c r="G170" s="210"/>
      <c r="H170" s="210"/>
      <c r="I170" s="210"/>
      <c r="J170" s="210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  <c r="Z170" s="211"/>
      <c r="AA170" s="211"/>
      <c r="AB170" s="211"/>
      <c r="AC170" s="211"/>
      <c r="AD170" s="210"/>
      <c r="AE170" s="211"/>
      <c r="AF170" s="211"/>
      <c r="AG170" s="8"/>
    </row>
    <row r="171" ht="13.5" customHeight="1">
      <c r="A171" s="211"/>
      <c r="B171" s="210"/>
      <c r="C171" s="210"/>
      <c r="D171" s="211"/>
      <c r="E171" s="210"/>
      <c r="F171" s="210"/>
      <c r="G171" s="210"/>
      <c r="H171" s="210"/>
      <c r="I171" s="210"/>
      <c r="J171" s="210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  <c r="Z171" s="211"/>
      <c r="AA171" s="211"/>
      <c r="AB171" s="211"/>
      <c r="AC171" s="211"/>
      <c r="AD171" s="210"/>
      <c r="AE171" s="211"/>
      <c r="AF171" s="211"/>
      <c r="AG171" s="8"/>
    </row>
    <row r="172" ht="13.5" customHeight="1">
      <c r="A172" s="211"/>
      <c r="B172" s="210"/>
      <c r="C172" s="210"/>
      <c r="D172" s="211"/>
      <c r="E172" s="210"/>
      <c r="F172" s="210"/>
      <c r="G172" s="210"/>
      <c r="H172" s="210"/>
      <c r="I172" s="210"/>
      <c r="J172" s="210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  <c r="AA172" s="211"/>
      <c r="AB172" s="211"/>
      <c r="AC172" s="211"/>
      <c r="AD172" s="210"/>
      <c r="AE172" s="211"/>
      <c r="AF172" s="211"/>
      <c r="AG172" s="8"/>
    </row>
    <row r="173" ht="13.5" customHeight="1">
      <c r="A173" s="211"/>
      <c r="B173" s="210"/>
      <c r="C173" s="210"/>
      <c r="D173" s="211"/>
      <c r="E173" s="210"/>
      <c r="F173" s="210"/>
      <c r="G173" s="210"/>
      <c r="H173" s="210"/>
      <c r="I173" s="210"/>
      <c r="J173" s="210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  <c r="Z173" s="211"/>
      <c r="AA173" s="211"/>
      <c r="AB173" s="211"/>
      <c r="AC173" s="211"/>
      <c r="AD173" s="210"/>
      <c r="AE173" s="211"/>
      <c r="AF173" s="211"/>
      <c r="AG173" s="8"/>
    </row>
    <row r="174" ht="13.5" customHeight="1">
      <c r="A174" s="211"/>
      <c r="B174" s="210"/>
      <c r="C174" s="210"/>
      <c r="D174" s="211"/>
      <c r="E174" s="210"/>
      <c r="F174" s="210"/>
      <c r="G174" s="210"/>
      <c r="H174" s="210"/>
      <c r="I174" s="210"/>
      <c r="J174" s="210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  <c r="Z174" s="211"/>
      <c r="AA174" s="211"/>
      <c r="AB174" s="211"/>
      <c r="AC174" s="211"/>
      <c r="AD174" s="210"/>
      <c r="AE174" s="211"/>
      <c r="AF174" s="211"/>
      <c r="AG174" s="8"/>
    </row>
    <row r="175" ht="13.5" customHeight="1">
      <c r="A175" s="211"/>
      <c r="B175" s="210"/>
      <c r="C175" s="210"/>
      <c r="D175" s="211"/>
      <c r="E175" s="210"/>
      <c r="F175" s="210"/>
      <c r="G175" s="210"/>
      <c r="H175" s="210"/>
      <c r="I175" s="210"/>
      <c r="J175" s="210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  <c r="Z175" s="211"/>
      <c r="AA175" s="211"/>
      <c r="AB175" s="211"/>
      <c r="AC175" s="211"/>
      <c r="AD175" s="210"/>
      <c r="AE175" s="211"/>
      <c r="AF175" s="211"/>
      <c r="AG175" s="8"/>
    </row>
    <row r="176" ht="13.5" customHeight="1">
      <c r="A176" s="211"/>
      <c r="B176" s="210"/>
      <c r="C176" s="210"/>
      <c r="D176" s="211"/>
      <c r="E176" s="210"/>
      <c r="F176" s="210"/>
      <c r="G176" s="210"/>
      <c r="H176" s="210"/>
      <c r="I176" s="210"/>
      <c r="J176" s="210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  <c r="Z176" s="211"/>
      <c r="AA176" s="211"/>
      <c r="AB176" s="211"/>
      <c r="AC176" s="211"/>
      <c r="AD176" s="210"/>
      <c r="AE176" s="211"/>
      <c r="AF176" s="211"/>
      <c r="AG176" s="8"/>
    </row>
    <row r="177" ht="13.5" customHeight="1">
      <c r="A177" s="211"/>
      <c r="B177" s="210"/>
      <c r="C177" s="210"/>
      <c r="D177" s="211"/>
      <c r="E177" s="210"/>
      <c r="F177" s="210"/>
      <c r="G177" s="210"/>
      <c r="H177" s="210"/>
      <c r="I177" s="210"/>
      <c r="J177" s="210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  <c r="Z177" s="211"/>
      <c r="AA177" s="211"/>
      <c r="AB177" s="211"/>
      <c r="AC177" s="211"/>
      <c r="AD177" s="210"/>
      <c r="AE177" s="211"/>
      <c r="AF177" s="211"/>
      <c r="AG177" s="8"/>
    </row>
    <row r="178" ht="13.5" customHeight="1">
      <c r="A178" s="211"/>
      <c r="B178" s="210"/>
      <c r="C178" s="210"/>
      <c r="D178" s="211"/>
      <c r="E178" s="210"/>
      <c r="F178" s="210"/>
      <c r="G178" s="210"/>
      <c r="H178" s="210"/>
      <c r="I178" s="210"/>
      <c r="J178" s="210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  <c r="Z178" s="211"/>
      <c r="AA178" s="211"/>
      <c r="AB178" s="211"/>
      <c r="AC178" s="211"/>
      <c r="AD178" s="210"/>
      <c r="AE178" s="211"/>
      <c r="AF178" s="211"/>
      <c r="AG178" s="8"/>
    </row>
    <row r="179" ht="13.5" customHeight="1">
      <c r="A179" s="211"/>
      <c r="B179" s="210"/>
      <c r="C179" s="210"/>
      <c r="D179" s="211"/>
      <c r="E179" s="210"/>
      <c r="F179" s="210"/>
      <c r="G179" s="210"/>
      <c r="H179" s="210"/>
      <c r="I179" s="210"/>
      <c r="J179" s="210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  <c r="Z179" s="211"/>
      <c r="AA179" s="211"/>
      <c r="AB179" s="211"/>
      <c r="AC179" s="211"/>
      <c r="AD179" s="210"/>
      <c r="AE179" s="211"/>
      <c r="AF179" s="211"/>
      <c r="AG179" s="8"/>
    </row>
    <row r="180" ht="13.5" customHeight="1">
      <c r="A180" s="211"/>
      <c r="B180" s="210"/>
      <c r="C180" s="210"/>
      <c r="D180" s="211"/>
      <c r="E180" s="210"/>
      <c r="F180" s="210"/>
      <c r="G180" s="210"/>
      <c r="H180" s="210"/>
      <c r="I180" s="210"/>
      <c r="J180" s="210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  <c r="Z180" s="211"/>
      <c r="AA180" s="211"/>
      <c r="AB180" s="211"/>
      <c r="AC180" s="211"/>
      <c r="AD180" s="210"/>
      <c r="AE180" s="211"/>
      <c r="AF180" s="211"/>
      <c r="AG180" s="8"/>
    </row>
    <row r="181" ht="13.5" customHeight="1">
      <c r="A181" s="211"/>
      <c r="B181" s="210"/>
      <c r="C181" s="210"/>
      <c r="D181" s="211"/>
      <c r="E181" s="210"/>
      <c r="F181" s="210"/>
      <c r="G181" s="210"/>
      <c r="H181" s="210"/>
      <c r="I181" s="210"/>
      <c r="J181" s="210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  <c r="Z181" s="211"/>
      <c r="AA181" s="211"/>
      <c r="AB181" s="211"/>
      <c r="AC181" s="211"/>
      <c r="AD181" s="210"/>
      <c r="AE181" s="211"/>
      <c r="AF181" s="211"/>
      <c r="AG181" s="8"/>
    </row>
    <row r="182" ht="13.5" customHeight="1">
      <c r="A182" s="211"/>
      <c r="B182" s="210"/>
      <c r="C182" s="210"/>
      <c r="D182" s="211"/>
      <c r="E182" s="210"/>
      <c r="F182" s="210"/>
      <c r="G182" s="210"/>
      <c r="H182" s="210"/>
      <c r="I182" s="210"/>
      <c r="J182" s="210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  <c r="Z182" s="211"/>
      <c r="AA182" s="211"/>
      <c r="AB182" s="211"/>
      <c r="AC182" s="211"/>
      <c r="AD182" s="210"/>
      <c r="AE182" s="211"/>
      <c r="AF182" s="211"/>
      <c r="AG182" s="8"/>
    </row>
    <row r="183" ht="13.5" customHeight="1">
      <c r="A183" s="211"/>
      <c r="B183" s="210"/>
      <c r="C183" s="210"/>
      <c r="D183" s="211"/>
      <c r="E183" s="210"/>
      <c r="F183" s="210"/>
      <c r="G183" s="210"/>
      <c r="H183" s="210"/>
      <c r="I183" s="210"/>
      <c r="J183" s="210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  <c r="Z183" s="211"/>
      <c r="AA183" s="211"/>
      <c r="AB183" s="211"/>
      <c r="AC183" s="211"/>
      <c r="AD183" s="210"/>
      <c r="AE183" s="211"/>
      <c r="AF183" s="211"/>
      <c r="AG183" s="8"/>
    </row>
    <row r="184" ht="13.5" customHeight="1">
      <c r="A184" s="211"/>
      <c r="B184" s="210"/>
      <c r="C184" s="210"/>
      <c r="D184" s="211"/>
      <c r="E184" s="210"/>
      <c r="F184" s="210"/>
      <c r="G184" s="210"/>
      <c r="H184" s="210"/>
      <c r="I184" s="210"/>
      <c r="J184" s="210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  <c r="Z184" s="211"/>
      <c r="AA184" s="211"/>
      <c r="AB184" s="211"/>
      <c r="AC184" s="211"/>
      <c r="AD184" s="210"/>
      <c r="AE184" s="211"/>
      <c r="AF184" s="211"/>
      <c r="AG184" s="8"/>
    </row>
    <row r="185" ht="13.5" customHeight="1">
      <c r="A185" s="211"/>
      <c r="B185" s="210"/>
      <c r="C185" s="210"/>
      <c r="D185" s="211"/>
      <c r="E185" s="210"/>
      <c r="F185" s="210"/>
      <c r="G185" s="210"/>
      <c r="H185" s="210"/>
      <c r="I185" s="210"/>
      <c r="J185" s="210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  <c r="Z185" s="211"/>
      <c r="AA185" s="211"/>
      <c r="AB185" s="211"/>
      <c r="AC185" s="211"/>
      <c r="AD185" s="210"/>
      <c r="AE185" s="211"/>
      <c r="AF185" s="211"/>
      <c r="AG185" s="8"/>
    </row>
    <row r="186" ht="13.5" customHeight="1">
      <c r="A186" s="211"/>
      <c r="B186" s="210"/>
      <c r="C186" s="210"/>
      <c r="D186" s="211"/>
      <c r="E186" s="210"/>
      <c r="F186" s="210"/>
      <c r="G186" s="210"/>
      <c r="H186" s="210"/>
      <c r="I186" s="210"/>
      <c r="J186" s="210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  <c r="Z186" s="211"/>
      <c r="AA186" s="211"/>
      <c r="AB186" s="211"/>
      <c r="AC186" s="211"/>
      <c r="AD186" s="210"/>
      <c r="AE186" s="211"/>
      <c r="AF186" s="211"/>
      <c r="AG186" s="8"/>
    </row>
    <row r="187" ht="13.5" customHeight="1">
      <c r="A187" s="211"/>
      <c r="B187" s="210"/>
      <c r="C187" s="210"/>
      <c r="D187" s="211"/>
      <c r="E187" s="210"/>
      <c r="F187" s="210"/>
      <c r="G187" s="210"/>
      <c r="H187" s="210"/>
      <c r="I187" s="210"/>
      <c r="J187" s="210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  <c r="Z187" s="211"/>
      <c r="AA187" s="211"/>
      <c r="AB187" s="211"/>
      <c r="AC187" s="211"/>
      <c r="AD187" s="210"/>
      <c r="AE187" s="211"/>
      <c r="AF187" s="211"/>
      <c r="AG187" s="8"/>
    </row>
    <row r="188" ht="13.5" customHeight="1">
      <c r="A188" s="211"/>
      <c r="B188" s="210"/>
      <c r="C188" s="210"/>
      <c r="D188" s="211"/>
      <c r="E188" s="210"/>
      <c r="F188" s="210"/>
      <c r="G188" s="210"/>
      <c r="H188" s="210"/>
      <c r="I188" s="210"/>
      <c r="J188" s="210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  <c r="Z188" s="211"/>
      <c r="AA188" s="211"/>
      <c r="AB188" s="211"/>
      <c r="AC188" s="211"/>
      <c r="AD188" s="210"/>
      <c r="AE188" s="211"/>
      <c r="AF188" s="211"/>
      <c r="AG188" s="8"/>
    </row>
    <row r="189" ht="13.5" customHeight="1">
      <c r="A189" s="211"/>
      <c r="B189" s="210"/>
      <c r="C189" s="210"/>
      <c r="D189" s="211"/>
      <c r="E189" s="210"/>
      <c r="F189" s="210"/>
      <c r="G189" s="210"/>
      <c r="H189" s="210"/>
      <c r="I189" s="210"/>
      <c r="J189" s="210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  <c r="Z189" s="211"/>
      <c r="AA189" s="211"/>
      <c r="AB189" s="211"/>
      <c r="AC189" s="211"/>
      <c r="AD189" s="210"/>
      <c r="AE189" s="211"/>
      <c r="AF189" s="211"/>
      <c r="AG189" s="8"/>
    </row>
    <row r="190" ht="13.5" customHeight="1">
      <c r="A190" s="211"/>
      <c r="B190" s="210"/>
      <c r="C190" s="210"/>
      <c r="D190" s="211"/>
      <c r="E190" s="210"/>
      <c r="F190" s="210"/>
      <c r="G190" s="210"/>
      <c r="H190" s="210"/>
      <c r="I190" s="210"/>
      <c r="J190" s="210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  <c r="Z190" s="211"/>
      <c r="AA190" s="211"/>
      <c r="AB190" s="211"/>
      <c r="AC190" s="211"/>
      <c r="AD190" s="210"/>
      <c r="AE190" s="211"/>
      <c r="AF190" s="211"/>
      <c r="AG190" s="8"/>
    </row>
    <row r="191" ht="13.5" customHeight="1">
      <c r="A191" s="211"/>
      <c r="B191" s="210"/>
      <c r="C191" s="210"/>
      <c r="D191" s="211"/>
      <c r="E191" s="210"/>
      <c r="F191" s="210"/>
      <c r="G191" s="210"/>
      <c r="H191" s="210"/>
      <c r="I191" s="210"/>
      <c r="J191" s="210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  <c r="Z191" s="211"/>
      <c r="AA191" s="211"/>
      <c r="AB191" s="211"/>
      <c r="AC191" s="211"/>
      <c r="AD191" s="210"/>
      <c r="AE191" s="211"/>
      <c r="AF191" s="211"/>
      <c r="AG191" s="8"/>
    </row>
    <row r="192" ht="13.5" customHeight="1">
      <c r="A192" s="211"/>
      <c r="B192" s="210"/>
      <c r="C192" s="210"/>
      <c r="D192" s="211"/>
      <c r="E192" s="210"/>
      <c r="F192" s="210"/>
      <c r="G192" s="210"/>
      <c r="H192" s="210"/>
      <c r="I192" s="210"/>
      <c r="J192" s="210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  <c r="Z192" s="211"/>
      <c r="AA192" s="211"/>
      <c r="AB192" s="211"/>
      <c r="AC192" s="211"/>
      <c r="AD192" s="210"/>
      <c r="AE192" s="211"/>
      <c r="AF192" s="211"/>
      <c r="AG192" s="8"/>
    </row>
    <row r="193" ht="13.5" customHeight="1">
      <c r="A193" s="211"/>
      <c r="B193" s="210"/>
      <c r="C193" s="210"/>
      <c r="D193" s="211"/>
      <c r="E193" s="210"/>
      <c r="F193" s="210"/>
      <c r="G193" s="210"/>
      <c r="H193" s="210"/>
      <c r="I193" s="210"/>
      <c r="J193" s="210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  <c r="Z193" s="211"/>
      <c r="AA193" s="211"/>
      <c r="AB193" s="211"/>
      <c r="AC193" s="211"/>
      <c r="AD193" s="210"/>
      <c r="AE193" s="211"/>
      <c r="AF193" s="211"/>
      <c r="AG193" s="8"/>
    </row>
    <row r="194" ht="13.5" customHeight="1">
      <c r="A194" s="211"/>
      <c r="B194" s="210"/>
      <c r="C194" s="210"/>
      <c r="D194" s="211"/>
      <c r="E194" s="210"/>
      <c r="F194" s="210"/>
      <c r="G194" s="210"/>
      <c r="H194" s="210"/>
      <c r="I194" s="210"/>
      <c r="J194" s="210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  <c r="Z194" s="211"/>
      <c r="AA194" s="211"/>
      <c r="AB194" s="211"/>
      <c r="AC194" s="211"/>
      <c r="AD194" s="210"/>
      <c r="AE194" s="211"/>
      <c r="AF194" s="211"/>
      <c r="AG194" s="8"/>
    </row>
    <row r="195" ht="13.5" customHeight="1">
      <c r="A195" s="211"/>
      <c r="B195" s="210"/>
      <c r="C195" s="210"/>
      <c r="D195" s="211"/>
      <c r="E195" s="210"/>
      <c r="F195" s="210"/>
      <c r="G195" s="210"/>
      <c r="H195" s="210"/>
      <c r="I195" s="210"/>
      <c r="J195" s="210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  <c r="Z195" s="211"/>
      <c r="AA195" s="211"/>
      <c r="AB195" s="211"/>
      <c r="AC195" s="211"/>
      <c r="AD195" s="210"/>
      <c r="AE195" s="211"/>
      <c r="AF195" s="211"/>
      <c r="AG195" s="8"/>
    </row>
    <row r="196" ht="13.5" customHeight="1">
      <c r="A196" s="211"/>
      <c r="B196" s="210"/>
      <c r="C196" s="210"/>
      <c r="D196" s="211"/>
      <c r="E196" s="210"/>
      <c r="F196" s="210"/>
      <c r="G196" s="210"/>
      <c r="H196" s="210"/>
      <c r="I196" s="210"/>
      <c r="J196" s="210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  <c r="Z196" s="211"/>
      <c r="AA196" s="211"/>
      <c r="AB196" s="211"/>
      <c r="AC196" s="211"/>
      <c r="AD196" s="210"/>
      <c r="AE196" s="211"/>
      <c r="AF196" s="211"/>
      <c r="AG196" s="8"/>
    </row>
    <row r="197" ht="13.5" customHeight="1">
      <c r="A197" s="211"/>
      <c r="B197" s="210"/>
      <c r="C197" s="210"/>
      <c r="D197" s="211"/>
      <c r="E197" s="210"/>
      <c r="F197" s="210"/>
      <c r="G197" s="210"/>
      <c r="H197" s="210"/>
      <c r="I197" s="210"/>
      <c r="J197" s="210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  <c r="Z197" s="211"/>
      <c r="AA197" s="211"/>
      <c r="AB197" s="211"/>
      <c r="AC197" s="211"/>
      <c r="AD197" s="210"/>
      <c r="AE197" s="211"/>
      <c r="AF197" s="211"/>
      <c r="AG197" s="8"/>
    </row>
    <row r="198" ht="13.5" customHeight="1">
      <c r="A198" s="211"/>
      <c r="B198" s="210"/>
      <c r="C198" s="210"/>
      <c r="D198" s="211"/>
      <c r="E198" s="210"/>
      <c r="F198" s="210"/>
      <c r="G198" s="210"/>
      <c r="H198" s="210"/>
      <c r="I198" s="210"/>
      <c r="J198" s="210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  <c r="Z198" s="211"/>
      <c r="AA198" s="211"/>
      <c r="AB198" s="211"/>
      <c r="AC198" s="211"/>
      <c r="AD198" s="210"/>
      <c r="AE198" s="211"/>
      <c r="AF198" s="211"/>
      <c r="AG198" s="8"/>
    </row>
    <row r="199" ht="13.5" customHeight="1">
      <c r="A199" s="211"/>
      <c r="B199" s="210"/>
      <c r="C199" s="210"/>
      <c r="D199" s="211"/>
      <c r="E199" s="210"/>
      <c r="F199" s="210"/>
      <c r="G199" s="210"/>
      <c r="H199" s="210"/>
      <c r="I199" s="210"/>
      <c r="J199" s="210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  <c r="Z199" s="211"/>
      <c r="AA199" s="211"/>
      <c r="AB199" s="211"/>
      <c r="AC199" s="211"/>
      <c r="AD199" s="210"/>
      <c r="AE199" s="211"/>
      <c r="AF199" s="211"/>
      <c r="AG199" s="8"/>
    </row>
    <row r="200" ht="13.5" customHeight="1">
      <c r="A200" s="211"/>
      <c r="B200" s="210"/>
      <c r="C200" s="210"/>
      <c r="D200" s="211"/>
      <c r="E200" s="210"/>
      <c r="F200" s="210"/>
      <c r="G200" s="210"/>
      <c r="H200" s="210"/>
      <c r="I200" s="210"/>
      <c r="J200" s="210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  <c r="Z200" s="211"/>
      <c r="AA200" s="211"/>
      <c r="AB200" s="211"/>
      <c r="AC200" s="211"/>
      <c r="AD200" s="210"/>
      <c r="AE200" s="211"/>
      <c r="AF200" s="211"/>
      <c r="AG200" s="8"/>
    </row>
    <row r="201" ht="13.5" customHeight="1">
      <c r="A201" s="211"/>
      <c r="B201" s="210"/>
      <c r="C201" s="210"/>
      <c r="D201" s="211"/>
      <c r="E201" s="210"/>
      <c r="F201" s="210"/>
      <c r="G201" s="210"/>
      <c r="H201" s="210"/>
      <c r="I201" s="210"/>
      <c r="J201" s="210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  <c r="AA201" s="211"/>
      <c r="AB201" s="211"/>
      <c r="AC201" s="211"/>
      <c r="AD201" s="210"/>
      <c r="AE201" s="211"/>
      <c r="AF201" s="211"/>
      <c r="AG201" s="8"/>
    </row>
    <row r="202" ht="13.5" customHeight="1">
      <c r="A202" s="211"/>
      <c r="B202" s="210"/>
      <c r="C202" s="210"/>
      <c r="D202" s="211"/>
      <c r="E202" s="210"/>
      <c r="F202" s="210"/>
      <c r="G202" s="210"/>
      <c r="H202" s="210"/>
      <c r="I202" s="210"/>
      <c r="J202" s="210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  <c r="Z202" s="211"/>
      <c r="AA202" s="211"/>
      <c r="AB202" s="211"/>
      <c r="AC202" s="211"/>
      <c r="AD202" s="210"/>
      <c r="AE202" s="211"/>
      <c r="AF202" s="211"/>
      <c r="AG202" s="8"/>
    </row>
    <row r="203" ht="13.5" customHeight="1">
      <c r="A203" s="211"/>
      <c r="B203" s="210"/>
      <c r="C203" s="210"/>
      <c r="D203" s="211"/>
      <c r="E203" s="210"/>
      <c r="F203" s="210"/>
      <c r="G203" s="210"/>
      <c r="H203" s="210"/>
      <c r="I203" s="210"/>
      <c r="J203" s="210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  <c r="Z203" s="211"/>
      <c r="AA203" s="211"/>
      <c r="AB203" s="211"/>
      <c r="AC203" s="211"/>
      <c r="AD203" s="210"/>
      <c r="AE203" s="211"/>
      <c r="AF203" s="211"/>
      <c r="AG203" s="8"/>
    </row>
    <row r="204" ht="13.5" customHeight="1">
      <c r="A204" s="211"/>
      <c r="B204" s="210"/>
      <c r="C204" s="210"/>
      <c r="D204" s="211"/>
      <c r="E204" s="210"/>
      <c r="F204" s="210"/>
      <c r="G204" s="210"/>
      <c r="H204" s="210"/>
      <c r="I204" s="210"/>
      <c r="J204" s="210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  <c r="Z204" s="211"/>
      <c r="AA204" s="211"/>
      <c r="AB204" s="211"/>
      <c r="AC204" s="211"/>
      <c r="AD204" s="210"/>
      <c r="AE204" s="211"/>
      <c r="AF204" s="211"/>
      <c r="AG204" s="8"/>
    </row>
    <row r="205" ht="13.5" customHeight="1">
      <c r="A205" s="211"/>
      <c r="B205" s="210"/>
      <c r="C205" s="210"/>
      <c r="D205" s="211"/>
      <c r="E205" s="210"/>
      <c r="F205" s="210"/>
      <c r="G205" s="210"/>
      <c r="H205" s="210"/>
      <c r="I205" s="210"/>
      <c r="J205" s="210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  <c r="Z205" s="211"/>
      <c r="AA205" s="211"/>
      <c r="AB205" s="211"/>
      <c r="AC205" s="211"/>
      <c r="AD205" s="210"/>
      <c r="AE205" s="211"/>
      <c r="AF205" s="211"/>
      <c r="AG205" s="8"/>
    </row>
    <row r="206" ht="13.5" customHeight="1">
      <c r="A206" s="211"/>
      <c r="B206" s="210"/>
      <c r="C206" s="210"/>
      <c r="D206" s="211"/>
      <c r="E206" s="210"/>
      <c r="F206" s="210"/>
      <c r="G206" s="210"/>
      <c r="H206" s="210"/>
      <c r="I206" s="210"/>
      <c r="J206" s="210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  <c r="Z206" s="211"/>
      <c r="AA206" s="211"/>
      <c r="AB206" s="211"/>
      <c r="AC206" s="211"/>
      <c r="AD206" s="210"/>
      <c r="AE206" s="211"/>
      <c r="AF206" s="211"/>
      <c r="AG206" s="8"/>
    </row>
    <row r="207" ht="13.5" customHeight="1">
      <c r="A207" s="211"/>
      <c r="B207" s="210"/>
      <c r="C207" s="210"/>
      <c r="D207" s="211"/>
      <c r="E207" s="210"/>
      <c r="F207" s="210"/>
      <c r="G207" s="210"/>
      <c r="H207" s="210"/>
      <c r="I207" s="210"/>
      <c r="J207" s="210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  <c r="Z207" s="211"/>
      <c r="AA207" s="211"/>
      <c r="AB207" s="211"/>
      <c r="AC207" s="211"/>
      <c r="AD207" s="210"/>
      <c r="AE207" s="211"/>
      <c r="AF207" s="211"/>
      <c r="AG207" s="8"/>
    </row>
    <row r="208" ht="13.5" customHeight="1">
      <c r="A208" s="211"/>
      <c r="B208" s="210"/>
      <c r="C208" s="210"/>
      <c r="D208" s="211"/>
      <c r="E208" s="210"/>
      <c r="F208" s="210"/>
      <c r="G208" s="210"/>
      <c r="H208" s="210"/>
      <c r="I208" s="210"/>
      <c r="J208" s="210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  <c r="Z208" s="211"/>
      <c r="AA208" s="211"/>
      <c r="AB208" s="211"/>
      <c r="AC208" s="211"/>
      <c r="AD208" s="210"/>
      <c r="AE208" s="211"/>
      <c r="AF208" s="211"/>
      <c r="AG208" s="8"/>
    </row>
    <row r="209" ht="13.5" customHeight="1">
      <c r="A209" s="211"/>
      <c r="B209" s="210"/>
      <c r="C209" s="210"/>
      <c r="D209" s="211"/>
      <c r="E209" s="210"/>
      <c r="F209" s="210"/>
      <c r="G209" s="210"/>
      <c r="H209" s="210"/>
      <c r="I209" s="210"/>
      <c r="J209" s="210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  <c r="Z209" s="211"/>
      <c r="AA209" s="211"/>
      <c r="AB209" s="211"/>
      <c r="AC209" s="211"/>
      <c r="AD209" s="210"/>
      <c r="AE209" s="211"/>
      <c r="AF209" s="211"/>
      <c r="AG209" s="8"/>
    </row>
    <row r="210" ht="13.5" customHeight="1">
      <c r="A210" s="211"/>
      <c r="B210" s="210"/>
      <c r="C210" s="210"/>
      <c r="D210" s="211"/>
      <c r="E210" s="210"/>
      <c r="F210" s="210"/>
      <c r="G210" s="210"/>
      <c r="H210" s="210"/>
      <c r="I210" s="210"/>
      <c r="J210" s="210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  <c r="Z210" s="211"/>
      <c r="AA210" s="211"/>
      <c r="AB210" s="211"/>
      <c r="AC210" s="211"/>
      <c r="AD210" s="210"/>
      <c r="AE210" s="211"/>
      <c r="AF210" s="211"/>
      <c r="AG210" s="8"/>
    </row>
    <row r="211" ht="13.5" customHeight="1">
      <c r="A211" s="211"/>
      <c r="B211" s="210"/>
      <c r="C211" s="210"/>
      <c r="D211" s="211"/>
      <c r="E211" s="210"/>
      <c r="F211" s="210"/>
      <c r="G211" s="210"/>
      <c r="H211" s="210"/>
      <c r="I211" s="210"/>
      <c r="J211" s="210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  <c r="AA211" s="211"/>
      <c r="AB211" s="211"/>
      <c r="AC211" s="211"/>
      <c r="AD211" s="210"/>
      <c r="AE211" s="211"/>
      <c r="AF211" s="211"/>
      <c r="AG211" s="8"/>
    </row>
    <row r="212" ht="13.5" customHeight="1">
      <c r="A212" s="211"/>
      <c r="B212" s="210"/>
      <c r="C212" s="210"/>
      <c r="D212" s="211"/>
      <c r="E212" s="210"/>
      <c r="F212" s="210"/>
      <c r="G212" s="210"/>
      <c r="H212" s="210"/>
      <c r="I212" s="210"/>
      <c r="J212" s="210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  <c r="AA212" s="211"/>
      <c r="AB212" s="211"/>
      <c r="AC212" s="211"/>
      <c r="AD212" s="210"/>
      <c r="AE212" s="211"/>
      <c r="AF212" s="211"/>
      <c r="AG212" s="8"/>
    </row>
    <row r="213" ht="13.5" customHeight="1">
      <c r="A213" s="211"/>
      <c r="B213" s="210"/>
      <c r="C213" s="210"/>
      <c r="D213" s="211"/>
      <c r="E213" s="210"/>
      <c r="F213" s="210"/>
      <c r="G213" s="210"/>
      <c r="H213" s="210"/>
      <c r="I213" s="210"/>
      <c r="J213" s="210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  <c r="AA213" s="211"/>
      <c r="AB213" s="211"/>
      <c r="AC213" s="211"/>
      <c r="AD213" s="210"/>
      <c r="AE213" s="211"/>
      <c r="AF213" s="211"/>
      <c r="AG213" s="8"/>
    </row>
    <row r="214" ht="13.5" customHeight="1">
      <c r="A214" s="211"/>
      <c r="B214" s="210"/>
      <c r="C214" s="210"/>
      <c r="D214" s="211"/>
      <c r="E214" s="210"/>
      <c r="F214" s="210"/>
      <c r="G214" s="210"/>
      <c r="H214" s="210"/>
      <c r="I214" s="210"/>
      <c r="J214" s="210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  <c r="AA214" s="211"/>
      <c r="AB214" s="211"/>
      <c r="AC214" s="211"/>
      <c r="AD214" s="210"/>
      <c r="AE214" s="211"/>
      <c r="AF214" s="211"/>
      <c r="AG214" s="8"/>
    </row>
    <row r="215" ht="13.5" customHeight="1">
      <c r="A215" s="211"/>
      <c r="B215" s="210"/>
      <c r="C215" s="210"/>
      <c r="D215" s="211"/>
      <c r="E215" s="210"/>
      <c r="F215" s="210"/>
      <c r="G215" s="210"/>
      <c r="H215" s="210"/>
      <c r="I215" s="210"/>
      <c r="J215" s="210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  <c r="AA215" s="211"/>
      <c r="AB215" s="211"/>
      <c r="AC215" s="211"/>
      <c r="AD215" s="210"/>
      <c r="AE215" s="211"/>
      <c r="AF215" s="211"/>
      <c r="AG215" s="8"/>
    </row>
    <row r="216" ht="13.5" customHeight="1">
      <c r="A216" s="211"/>
      <c r="B216" s="210"/>
      <c r="C216" s="210"/>
      <c r="D216" s="211"/>
      <c r="E216" s="210"/>
      <c r="F216" s="210"/>
      <c r="G216" s="210"/>
      <c r="H216" s="210"/>
      <c r="I216" s="210"/>
      <c r="J216" s="210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  <c r="Z216" s="211"/>
      <c r="AA216" s="211"/>
      <c r="AB216" s="211"/>
      <c r="AC216" s="211"/>
      <c r="AD216" s="210"/>
      <c r="AE216" s="211"/>
      <c r="AF216" s="211"/>
      <c r="AG216" s="8"/>
    </row>
    <row r="217" ht="13.5" customHeight="1">
      <c r="A217" s="211"/>
      <c r="B217" s="210"/>
      <c r="C217" s="210"/>
      <c r="D217" s="211"/>
      <c r="E217" s="210"/>
      <c r="F217" s="210"/>
      <c r="G217" s="210"/>
      <c r="H217" s="210"/>
      <c r="I217" s="210"/>
      <c r="J217" s="210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211"/>
      <c r="AA217" s="211"/>
      <c r="AB217" s="211"/>
      <c r="AC217" s="211"/>
      <c r="AD217" s="210"/>
      <c r="AE217" s="211"/>
      <c r="AF217" s="211"/>
      <c r="AG217" s="8"/>
    </row>
    <row r="218" ht="13.5" customHeight="1">
      <c r="A218" s="211"/>
      <c r="B218" s="210"/>
      <c r="C218" s="210"/>
      <c r="D218" s="211"/>
      <c r="E218" s="210"/>
      <c r="F218" s="210"/>
      <c r="G218" s="210"/>
      <c r="H218" s="210"/>
      <c r="I218" s="210"/>
      <c r="J218" s="210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  <c r="AA218" s="211"/>
      <c r="AB218" s="211"/>
      <c r="AC218" s="211"/>
      <c r="AD218" s="210"/>
      <c r="AE218" s="211"/>
      <c r="AF218" s="211"/>
      <c r="AG218" s="8"/>
    </row>
    <row r="219" ht="13.5" customHeight="1">
      <c r="A219" s="211"/>
      <c r="B219" s="210"/>
      <c r="C219" s="210"/>
      <c r="D219" s="211"/>
      <c r="E219" s="210"/>
      <c r="F219" s="210"/>
      <c r="G219" s="210"/>
      <c r="H219" s="210"/>
      <c r="I219" s="210"/>
      <c r="J219" s="210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211"/>
      <c r="AA219" s="211"/>
      <c r="AB219" s="211"/>
      <c r="AC219" s="211"/>
      <c r="AD219" s="210"/>
      <c r="AE219" s="211"/>
      <c r="AF219" s="211"/>
      <c r="AG219" s="8"/>
    </row>
    <row r="220" ht="13.5" customHeight="1">
      <c r="A220" s="211"/>
      <c r="B220" s="210"/>
      <c r="C220" s="210"/>
      <c r="D220" s="211"/>
      <c r="E220" s="210"/>
      <c r="F220" s="210"/>
      <c r="G220" s="210"/>
      <c r="H220" s="210"/>
      <c r="I220" s="210"/>
      <c r="J220" s="210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  <c r="AB220" s="211"/>
      <c r="AC220" s="211"/>
      <c r="AD220" s="210"/>
      <c r="AE220" s="211"/>
      <c r="AF220" s="211"/>
      <c r="AG220" s="8"/>
    </row>
    <row r="221" ht="13.5" customHeight="1">
      <c r="A221" s="211"/>
      <c r="B221" s="210"/>
      <c r="C221" s="210"/>
      <c r="D221" s="211"/>
      <c r="E221" s="210"/>
      <c r="F221" s="210"/>
      <c r="G221" s="210"/>
      <c r="H221" s="210"/>
      <c r="I221" s="210"/>
      <c r="J221" s="210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  <c r="Z221" s="211"/>
      <c r="AA221" s="211"/>
      <c r="AB221" s="211"/>
      <c r="AC221" s="211"/>
      <c r="AD221" s="210"/>
      <c r="AE221" s="211"/>
      <c r="AF221" s="211"/>
      <c r="AG221" s="8"/>
    </row>
    <row r="222" ht="13.5" customHeight="1">
      <c r="A222" s="211"/>
      <c r="B222" s="210"/>
      <c r="C222" s="210"/>
      <c r="D222" s="211"/>
      <c r="E222" s="210"/>
      <c r="F222" s="210"/>
      <c r="G222" s="210"/>
      <c r="H222" s="210"/>
      <c r="I222" s="210"/>
      <c r="J222" s="210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0"/>
      <c r="AE222" s="211"/>
      <c r="AF222" s="211"/>
      <c r="AG222" s="8"/>
    </row>
    <row r="223" ht="13.5" customHeight="1">
      <c r="A223" s="211"/>
      <c r="B223" s="210"/>
      <c r="C223" s="210"/>
      <c r="D223" s="211"/>
      <c r="E223" s="210"/>
      <c r="F223" s="210"/>
      <c r="G223" s="210"/>
      <c r="H223" s="210"/>
      <c r="I223" s="210"/>
      <c r="J223" s="210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  <c r="Z223" s="211"/>
      <c r="AA223" s="211"/>
      <c r="AB223" s="211"/>
      <c r="AC223" s="211"/>
      <c r="AD223" s="210"/>
      <c r="AE223" s="211"/>
      <c r="AF223" s="211"/>
      <c r="AG223" s="8"/>
    </row>
    <row r="224" ht="13.5" customHeight="1">
      <c r="A224" s="211"/>
      <c r="B224" s="210"/>
      <c r="C224" s="210"/>
      <c r="D224" s="211"/>
      <c r="E224" s="210"/>
      <c r="F224" s="210"/>
      <c r="G224" s="210"/>
      <c r="H224" s="210"/>
      <c r="I224" s="210"/>
      <c r="J224" s="210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  <c r="Z224" s="211"/>
      <c r="AA224" s="211"/>
      <c r="AB224" s="211"/>
      <c r="AC224" s="211"/>
      <c r="AD224" s="210"/>
      <c r="AE224" s="211"/>
      <c r="AF224" s="211"/>
      <c r="AG224" s="8"/>
    </row>
    <row r="225" ht="13.5" customHeight="1">
      <c r="A225" s="211"/>
      <c r="B225" s="210"/>
      <c r="C225" s="210"/>
      <c r="D225" s="211"/>
      <c r="E225" s="210"/>
      <c r="F225" s="210"/>
      <c r="G225" s="210"/>
      <c r="H225" s="210"/>
      <c r="I225" s="210"/>
      <c r="J225" s="210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  <c r="Z225" s="211"/>
      <c r="AA225" s="211"/>
      <c r="AB225" s="211"/>
      <c r="AC225" s="211"/>
      <c r="AD225" s="210"/>
      <c r="AE225" s="211"/>
      <c r="AF225" s="211"/>
      <c r="AG225" s="8"/>
    </row>
    <row r="226" ht="13.5" customHeight="1">
      <c r="A226" s="211"/>
      <c r="B226" s="210"/>
      <c r="C226" s="210"/>
      <c r="D226" s="211"/>
      <c r="E226" s="210"/>
      <c r="F226" s="210"/>
      <c r="G226" s="210"/>
      <c r="H226" s="210"/>
      <c r="I226" s="210"/>
      <c r="J226" s="210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  <c r="Z226" s="211"/>
      <c r="AA226" s="211"/>
      <c r="AB226" s="211"/>
      <c r="AC226" s="211"/>
      <c r="AD226" s="210"/>
      <c r="AE226" s="211"/>
      <c r="AF226" s="211"/>
      <c r="AG226" s="8"/>
    </row>
    <row r="227" ht="13.5" customHeight="1">
      <c r="A227" s="211"/>
      <c r="B227" s="210"/>
      <c r="C227" s="210"/>
      <c r="D227" s="211"/>
      <c r="E227" s="210"/>
      <c r="F227" s="210"/>
      <c r="G227" s="210"/>
      <c r="H227" s="210"/>
      <c r="I227" s="210"/>
      <c r="J227" s="210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  <c r="Z227" s="211"/>
      <c r="AA227" s="211"/>
      <c r="AB227" s="211"/>
      <c r="AC227" s="211"/>
      <c r="AD227" s="210"/>
      <c r="AE227" s="211"/>
      <c r="AF227" s="211"/>
      <c r="AG227" s="8"/>
    </row>
    <row r="228" ht="13.5" customHeight="1">
      <c r="A228" s="211"/>
      <c r="B228" s="210"/>
      <c r="C228" s="210"/>
      <c r="D228" s="211"/>
      <c r="E228" s="210"/>
      <c r="F228" s="210"/>
      <c r="G228" s="210"/>
      <c r="H228" s="210"/>
      <c r="I228" s="210"/>
      <c r="J228" s="210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0"/>
      <c r="AE228" s="211"/>
      <c r="AF228" s="211"/>
      <c r="AG228" s="8"/>
    </row>
    <row r="229" ht="13.5" customHeight="1">
      <c r="A229" s="211"/>
      <c r="B229" s="210"/>
      <c r="C229" s="210"/>
      <c r="D229" s="211"/>
      <c r="E229" s="210"/>
      <c r="F229" s="210"/>
      <c r="G229" s="210"/>
      <c r="H229" s="210"/>
      <c r="I229" s="210"/>
      <c r="J229" s="210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  <c r="Z229" s="211"/>
      <c r="AA229" s="211"/>
      <c r="AB229" s="211"/>
      <c r="AC229" s="211"/>
      <c r="AD229" s="210"/>
      <c r="AE229" s="211"/>
      <c r="AF229" s="211"/>
      <c r="AG229" s="8"/>
    </row>
    <row r="230" ht="13.5" customHeight="1">
      <c r="A230" s="211"/>
      <c r="B230" s="210"/>
      <c r="C230" s="210"/>
      <c r="D230" s="211"/>
      <c r="E230" s="210"/>
      <c r="F230" s="210"/>
      <c r="G230" s="210"/>
      <c r="H230" s="210"/>
      <c r="I230" s="210"/>
      <c r="J230" s="210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  <c r="Z230" s="211"/>
      <c r="AA230" s="211"/>
      <c r="AB230" s="211"/>
      <c r="AC230" s="211"/>
      <c r="AD230" s="210"/>
      <c r="AE230" s="211"/>
      <c r="AF230" s="211"/>
      <c r="AG230" s="8"/>
    </row>
    <row r="231" ht="13.5" customHeight="1">
      <c r="A231" s="211"/>
      <c r="B231" s="210"/>
      <c r="C231" s="210"/>
      <c r="D231" s="211"/>
      <c r="E231" s="210"/>
      <c r="F231" s="210"/>
      <c r="G231" s="210"/>
      <c r="H231" s="210"/>
      <c r="I231" s="210"/>
      <c r="J231" s="210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  <c r="Z231" s="211"/>
      <c r="AA231" s="211"/>
      <c r="AB231" s="211"/>
      <c r="AC231" s="211"/>
      <c r="AD231" s="210"/>
      <c r="AE231" s="211"/>
      <c r="AF231" s="211"/>
      <c r="AG231" s="8"/>
    </row>
    <row r="232" ht="13.5" customHeight="1">
      <c r="A232" s="8"/>
      <c r="B232" s="278"/>
      <c r="C232" s="278"/>
      <c r="D232" s="8"/>
      <c r="E232" s="278"/>
      <c r="F232" s="278"/>
      <c r="G232" s="278"/>
      <c r="H232" s="278"/>
      <c r="I232" s="278"/>
      <c r="J232" s="27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278"/>
      <c r="AE232" s="8"/>
      <c r="AF232" s="8"/>
      <c r="AG232" s="8"/>
    </row>
    <row r="233" ht="13.5" customHeight="1">
      <c r="A233" s="8"/>
      <c r="B233" s="278"/>
      <c r="C233" s="278"/>
      <c r="D233" s="8"/>
      <c r="E233" s="278"/>
      <c r="F233" s="278"/>
      <c r="G233" s="278"/>
      <c r="H233" s="278"/>
      <c r="I233" s="278"/>
      <c r="J233" s="27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278"/>
      <c r="AE233" s="8"/>
      <c r="AF233" s="8"/>
      <c r="AG233" s="8"/>
    </row>
    <row r="234" ht="13.5" customHeight="1">
      <c r="A234" s="8"/>
      <c r="B234" s="278"/>
      <c r="C234" s="278"/>
      <c r="D234" s="8"/>
      <c r="E234" s="278"/>
      <c r="F234" s="278"/>
      <c r="G234" s="278"/>
      <c r="H234" s="278"/>
      <c r="I234" s="278"/>
      <c r="J234" s="27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278"/>
      <c r="AE234" s="8"/>
      <c r="AF234" s="8"/>
      <c r="AG234" s="8"/>
    </row>
    <row r="235" ht="13.5" customHeight="1">
      <c r="A235" s="8"/>
      <c r="B235" s="278"/>
      <c r="C235" s="278"/>
      <c r="D235" s="8"/>
      <c r="E235" s="278"/>
      <c r="F235" s="278"/>
      <c r="G235" s="278"/>
      <c r="H235" s="278"/>
      <c r="I235" s="278"/>
      <c r="J235" s="27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278"/>
      <c r="AE235" s="8"/>
      <c r="AF235" s="8"/>
      <c r="AG235" s="8"/>
    </row>
    <row r="236" ht="13.5" customHeight="1">
      <c r="A236" s="8"/>
      <c r="B236" s="278"/>
      <c r="C236" s="278"/>
      <c r="D236" s="8"/>
      <c r="E236" s="278"/>
      <c r="F236" s="278"/>
      <c r="G236" s="278"/>
      <c r="H236" s="278"/>
      <c r="I236" s="278"/>
      <c r="J236" s="27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278"/>
      <c r="AE236" s="8"/>
      <c r="AF236" s="8"/>
      <c r="AG236" s="8"/>
    </row>
    <row r="237" ht="13.5" customHeight="1">
      <c r="A237" s="8"/>
      <c r="B237" s="278"/>
      <c r="C237" s="278"/>
      <c r="D237" s="8"/>
      <c r="E237" s="278"/>
      <c r="F237" s="278"/>
      <c r="G237" s="278"/>
      <c r="H237" s="278"/>
      <c r="I237" s="278"/>
      <c r="J237" s="27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278"/>
      <c r="AE237" s="8"/>
      <c r="AF237" s="8"/>
      <c r="AG237" s="8"/>
    </row>
    <row r="238" ht="13.5" customHeight="1">
      <c r="A238" s="8"/>
      <c r="B238" s="278"/>
      <c r="C238" s="278"/>
      <c r="D238" s="8"/>
      <c r="E238" s="278"/>
      <c r="F238" s="278"/>
      <c r="G238" s="278"/>
      <c r="H238" s="278"/>
      <c r="I238" s="278"/>
      <c r="J238" s="27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278"/>
      <c r="AE238" s="8"/>
      <c r="AF238" s="8"/>
      <c r="AG238" s="8"/>
    </row>
    <row r="239" ht="13.5" customHeight="1">
      <c r="A239" s="8"/>
      <c r="B239" s="278"/>
      <c r="C239" s="278"/>
      <c r="D239" s="8"/>
      <c r="E239" s="278"/>
      <c r="F239" s="278"/>
      <c r="G239" s="278"/>
      <c r="H239" s="278"/>
      <c r="I239" s="278"/>
      <c r="J239" s="27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278"/>
      <c r="AE239" s="8"/>
      <c r="AF239" s="8"/>
      <c r="AG239" s="8"/>
    </row>
    <row r="240" ht="13.5" customHeight="1">
      <c r="A240" s="8"/>
      <c r="B240" s="278"/>
      <c r="C240" s="278"/>
      <c r="D240" s="8"/>
      <c r="E240" s="278"/>
      <c r="F240" s="278"/>
      <c r="G240" s="278"/>
      <c r="H240" s="278"/>
      <c r="I240" s="278"/>
      <c r="J240" s="27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278"/>
      <c r="AE240" s="8"/>
      <c r="AF240" s="8"/>
      <c r="AG240" s="8"/>
    </row>
    <row r="241" ht="13.5" customHeight="1">
      <c r="A241" s="8"/>
      <c r="B241" s="278"/>
      <c r="C241" s="278"/>
      <c r="D241" s="8"/>
      <c r="E241" s="278"/>
      <c r="F241" s="278"/>
      <c r="G241" s="278"/>
      <c r="H241" s="278"/>
      <c r="I241" s="278"/>
      <c r="J241" s="27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278"/>
      <c r="AE241" s="8"/>
      <c r="AF241" s="8"/>
      <c r="AG241" s="8"/>
    </row>
    <row r="242" ht="13.5" customHeight="1">
      <c r="A242" s="8"/>
      <c r="B242" s="278"/>
      <c r="C242" s="278"/>
      <c r="D242" s="8"/>
      <c r="E242" s="278"/>
      <c r="F242" s="278"/>
      <c r="G242" s="278"/>
      <c r="H242" s="278"/>
      <c r="I242" s="278"/>
      <c r="J242" s="27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278"/>
      <c r="AE242" s="8"/>
      <c r="AF242" s="8"/>
      <c r="AG242" s="8"/>
    </row>
    <row r="243" ht="13.5" customHeight="1">
      <c r="A243" s="8"/>
      <c r="B243" s="278"/>
      <c r="C243" s="278"/>
      <c r="D243" s="8"/>
      <c r="E243" s="278"/>
      <c r="F243" s="278"/>
      <c r="G243" s="278"/>
      <c r="H243" s="278"/>
      <c r="I243" s="278"/>
      <c r="J243" s="27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278"/>
      <c r="AE243" s="8"/>
      <c r="AF243" s="8"/>
      <c r="AG243" s="8"/>
    </row>
    <row r="244" ht="13.5" customHeight="1">
      <c r="A244" s="8"/>
      <c r="B244" s="278"/>
      <c r="C244" s="278"/>
      <c r="D244" s="8"/>
      <c r="E244" s="278"/>
      <c r="F244" s="278"/>
      <c r="G244" s="278"/>
      <c r="H244" s="278"/>
      <c r="I244" s="278"/>
      <c r="J244" s="27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278"/>
      <c r="AE244" s="8"/>
      <c r="AF244" s="8"/>
      <c r="AG244" s="8"/>
    </row>
    <row r="245" ht="13.5" customHeight="1">
      <c r="A245" s="8"/>
      <c r="B245" s="278"/>
      <c r="C245" s="278"/>
      <c r="D245" s="8"/>
      <c r="E245" s="278"/>
      <c r="F245" s="278"/>
      <c r="G245" s="278"/>
      <c r="H245" s="278"/>
      <c r="I245" s="278"/>
      <c r="J245" s="27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278"/>
      <c r="AE245" s="8"/>
      <c r="AF245" s="8"/>
      <c r="AG245" s="8"/>
    </row>
    <row r="246" ht="13.5" customHeight="1">
      <c r="A246" s="8"/>
      <c r="B246" s="278"/>
      <c r="C246" s="278"/>
      <c r="D246" s="8"/>
      <c r="E246" s="278"/>
      <c r="F246" s="278"/>
      <c r="G246" s="278"/>
      <c r="H246" s="278"/>
      <c r="I246" s="278"/>
      <c r="J246" s="27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278"/>
      <c r="AE246" s="8"/>
      <c r="AF246" s="8"/>
      <c r="AG246" s="8"/>
    </row>
    <row r="247" ht="13.5" customHeight="1">
      <c r="A247" s="8"/>
      <c r="B247" s="278"/>
      <c r="C247" s="278"/>
      <c r="D247" s="8"/>
      <c r="E247" s="278"/>
      <c r="F247" s="278"/>
      <c r="G247" s="278"/>
      <c r="H247" s="278"/>
      <c r="I247" s="278"/>
      <c r="J247" s="27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278"/>
      <c r="AE247" s="8"/>
      <c r="AF247" s="8"/>
      <c r="AG247" s="8"/>
    </row>
    <row r="248" ht="13.5" customHeight="1">
      <c r="A248" s="8"/>
      <c r="B248" s="278"/>
      <c r="C248" s="278"/>
      <c r="D248" s="8"/>
      <c r="E248" s="278"/>
      <c r="F248" s="278"/>
      <c r="G248" s="278"/>
      <c r="H248" s="278"/>
      <c r="I248" s="278"/>
      <c r="J248" s="27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278"/>
      <c r="AE248" s="8"/>
      <c r="AF248" s="8"/>
      <c r="AG248" s="8"/>
    </row>
    <row r="249" ht="13.5" customHeight="1">
      <c r="A249" s="8"/>
      <c r="B249" s="278"/>
      <c r="C249" s="278"/>
      <c r="D249" s="8"/>
      <c r="E249" s="278"/>
      <c r="F249" s="278"/>
      <c r="G249" s="278"/>
      <c r="H249" s="278"/>
      <c r="I249" s="278"/>
      <c r="J249" s="27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278"/>
      <c r="AE249" s="8"/>
      <c r="AF249" s="8"/>
      <c r="AG249" s="8"/>
    </row>
    <row r="250" ht="13.5" customHeight="1">
      <c r="A250" s="8"/>
      <c r="B250" s="278"/>
      <c r="C250" s="278"/>
      <c r="D250" s="8"/>
      <c r="E250" s="278"/>
      <c r="F250" s="278"/>
      <c r="G250" s="278"/>
      <c r="H250" s="278"/>
      <c r="I250" s="278"/>
      <c r="J250" s="27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278"/>
      <c r="AE250" s="8"/>
      <c r="AF250" s="8"/>
      <c r="AG250" s="8"/>
    </row>
    <row r="251" ht="13.5" customHeight="1">
      <c r="A251" s="8"/>
      <c r="B251" s="278"/>
      <c r="C251" s="278"/>
      <c r="D251" s="8"/>
      <c r="E251" s="278"/>
      <c r="F251" s="278"/>
      <c r="G251" s="278"/>
      <c r="H251" s="278"/>
      <c r="I251" s="278"/>
      <c r="J251" s="27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278"/>
      <c r="AE251" s="8"/>
      <c r="AF251" s="8"/>
      <c r="AG251" s="8"/>
    </row>
    <row r="252" ht="13.5" customHeight="1">
      <c r="A252" s="8"/>
      <c r="B252" s="278"/>
      <c r="C252" s="278"/>
      <c r="D252" s="8"/>
      <c r="E252" s="278"/>
      <c r="F252" s="278"/>
      <c r="G252" s="278"/>
      <c r="H252" s="278"/>
      <c r="I252" s="278"/>
      <c r="J252" s="27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278"/>
      <c r="AE252" s="8"/>
      <c r="AF252" s="8"/>
      <c r="AG252" s="8"/>
    </row>
    <row r="253" ht="13.5" customHeight="1">
      <c r="A253" s="8"/>
      <c r="B253" s="278"/>
      <c r="C253" s="278"/>
      <c r="D253" s="8"/>
      <c r="E253" s="278"/>
      <c r="F253" s="278"/>
      <c r="G253" s="278"/>
      <c r="H253" s="278"/>
      <c r="I253" s="278"/>
      <c r="J253" s="27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278"/>
      <c r="AE253" s="8"/>
      <c r="AF253" s="8"/>
      <c r="AG253" s="8"/>
    </row>
    <row r="254" ht="13.5" customHeight="1">
      <c r="A254" s="8"/>
      <c r="B254" s="278"/>
      <c r="C254" s="278"/>
      <c r="D254" s="8"/>
      <c r="E254" s="278"/>
      <c r="F254" s="278"/>
      <c r="G254" s="278"/>
      <c r="H254" s="278"/>
      <c r="I254" s="278"/>
      <c r="J254" s="27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278"/>
      <c r="AE254" s="8"/>
      <c r="AF254" s="8"/>
      <c r="AG254" s="8"/>
    </row>
    <row r="255" ht="13.5" customHeight="1">
      <c r="A255" s="8"/>
      <c r="B255" s="278"/>
      <c r="C255" s="278"/>
      <c r="D255" s="8"/>
      <c r="E255" s="278"/>
      <c r="F255" s="278"/>
      <c r="G255" s="278"/>
      <c r="H255" s="278"/>
      <c r="I255" s="278"/>
      <c r="J255" s="27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278"/>
      <c r="AE255" s="8"/>
      <c r="AF255" s="8"/>
      <c r="AG255" s="8"/>
    </row>
    <row r="256" ht="13.5" customHeight="1">
      <c r="A256" s="8"/>
      <c r="B256" s="278"/>
      <c r="C256" s="278"/>
      <c r="D256" s="8"/>
      <c r="E256" s="278"/>
      <c r="F256" s="278"/>
      <c r="G256" s="278"/>
      <c r="H256" s="278"/>
      <c r="I256" s="278"/>
      <c r="J256" s="27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278"/>
      <c r="AE256" s="8"/>
      <c r="AF256" s="8"/>
      <c r="AG256" s="8"/>
    </row>
    <row r="257" ht="13.5" customHeight="1">
      <c r="A257" s="8"/>
      <c r="B257" s="278"/>
      <c r="C257" s="278"/>
      <c r="D257" s="8"/>
      <c r="E257" s="278"/>
      <c r="F257" s="278"/>
      <c r="G257" s="278"/>
      <c r="H257" s="278"/>
      <c r="I257" s="278"/>
      <c r="J257" s="27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278"/>
      <c r="AE257" s="8"/>
      <c r="AF257" s="8"/>
      <c r="AG257" s="8"/>
    </row>
    <row r="258" ht="13.5" customHeight="1">
      <c r="A258" s="8"/>
      <c r="B258" s="278"/>
      <c r="C258" s="278"/>
      <c r="D258" s="8"/>
      <c r="E258" s="278"/>
      <c r="F258" s="278"/>
      <c r="G258" s="278"/>
      <c r="H258" s="278"/>
      <c r="I258" s="278"/>
      <c r="J258" s="27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278"/>
      <c r="AE258" s="8"/>
      <c r="AF258" s="8"/>
      <c r="AG258" s="8"/>
    </row>
    <row r="259" ht="13.5" customHeight="1">
      <c r="A259" s="8"/>
      <c r="B259" s="278"/>
      <c r="C259" s="278"/>
      <c r="D259" s="8"/>
      <c r="E259" s="278"/>
      <c r="F259" s="278"/>
      <c r="G259" s="278"/>
      <c r="H259" s="278"/>
      <c r="I259" s="278"/>
      <c r="J259" s="27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278"/>
      <c r="AE259" s="8"/>
      <c r="AF259" s="8"/>
      <c r="AG259" s="8"/>
    </row>
    <row r="260" ht="13.5" customHeight="1">
      <c r="A260" s="8"/>
      <c r="B260" s="278"/>
      <c r="C260" s="278"/>
      <c r="D260" s="8"/>
      <c r="E260" s="278"/>
      <c r="F260" s="278"/>
      <c r="G260" s="278"/>
      <c r="H260" s="278"/>
      <c r="I260" s="278"/>
      <c r="J260" s="27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278"/>
      <c r="AE260" s="8"/>
      <c r="AF260" s="8"/>
      <c r="AG260" s="8"/>
    </row>
    <row r="261" ht="13.5" customHeight="1">
      <c r="A261" s="8"/>
      <c r="B261" s="278"/>
      <c r="C261" s="278"/>
      <c r="D261" s="8"/>
      <c r="E261" s="278"/>
      <c r="F261" s="278"/>
      <c r="G261" s="278"/>
      <c r="H261" s="278"/>
      <c r="I261" s="278"/>
      <c r="J261" s="27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278"/>
      <c r="AE261" s="8"/>
      <c r="AF261" s="8"/>
      <c r="AG261" s="8"/>
    </row>
    <row r="262" ht="13.5" customHeight="1">
      <c r="A262" s="8"/>
      <c r="B262" s="278"/>
      <c r="C262" s="278"/>
      <c r="D262" s="8"/>
      <c r="E262" s="278"/>
      <c r="F262" s="278"/>
      <c r="G262" s="278"/>
      <c r="H262" s="278"/>
      <c r="I262" s="278"/>
      <c r="J262" s="27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278"/>
      <c r="AE262" s="8"/>
      <c r="AF262" s="8"/>
      <c r="AG262" s="8"/>
    </row>
    <row r="263" ht="13.5" customHeight="1">
      <c r="A263" s="8"/>
      <c r="B263" s="278"/>
      <c r="C263" s="278"/>
      <c r="D263" s="8"/>
      <c r="E263" s="278"/>
      <c r="F263" s="278"/>
      <c r="G263" s="278"/>
      <c r="H263" s="278"/>
      <c r="I263" s="278"/>
      <c r="J263" s="27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278"/>
      <c r="AE263" s="8"/>
      <c r="AF263" s="8"/>
      <c r="AG263" s="8"/>
    </row>
    <row r="264" ht="13.5" customHeight="1">
      <c r="A264" s="8"/>
      <c r="B264" s="278"/>
      <c r="C264" s="278"/>
      <c r="D264" s="8"/>
      <c r="E264" s="278"/>
      <c r="F264" s="278"/>
      <c r="G264" s="278"/>
      <c r="H264" s="278"/>
      <c r="I264" s="278"/>
      <c r="J264" s="27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278"/>
      <c r="AE264" s="8"/>
      <c r="AF264" s="8"/>
      <c r="AG264" s="8"/>
    </row>
    <row r="265" ht="13.5" customHeight="1">
      <c r="A265" s="8"/>
      <c r="B265" s="278"/>
      <c r="C265" s="278"/>
      <c r="D265" s="8"/>
      <c r="E265" s="278"/>
      <c r="F265" s="278"/>
      <c r="G265" s="278"/>
      <c r="H265" s="278"/>
      <c r="I265" s="278"/>
      <c r="J265" s="27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278"/>
      <c r="AE265" s="8"/>
      <c r="AF265" s="8"/>
      <c r="AG265" s="8"/>
    </row>
    <row r="266" ht="13.5" customHeight="1">
      <c r="A266" s="8"/>
      <c r="B266" s="278"/>
      <c r="C266" s="278"/>
      <c r="D266" s="8"/>
      <c r="E266" s="278"/>
      <c r="F266" s="278"/>
      <c r="G266" s="278"/>
      <c r="H266" s="278"/>
      <c r="I266" s="278"/>
      <c r="J266" s="27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278"/>
      <c r="AE266" s="8"/>
      <c r="AF266" s="8"/>
      <c r="AG266" s="8"/>
    </row>
    <row r="267" ht="13.5" customHeight="1">
      <c r="A267" s="8"/>
      <c r="B267" s="278"/>
      <c r="C267" s="278"/>
      <c r="D267" s="8"/>
      <c r="E267" s="278"/>
      <c r="F267" s="278"/>
      <c r="G267" s="278"/>
      <c r="H267" s="278"/>
      <c r="I267" s="278"/>
      <c r="J267" s="27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278"/>
      <c r="AE267" s="8"/>
      <c r="AF267" s="8"/>
      <c r="AG267" s="8"/>
    </row>
    <row r="268" ht="13.5" customHeight="1">
      <c r="A268" s="8"/>
      <c r="B268" s="278"/>
      <c r="C268" s="278"/>
      <c r="D268" s="8"/>
      <c r="E268" s="278"/>
      <c r="F268" s="278"/>
      <c r="G268" s="278"/>
      <c r="H268" s="278"/>
      <c r="I268" s="278"/>
      <c r="J268" s="27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278"/>
      <c r="AE268" s="8"/>
      <c r="AF268" s="8"/>
      <c r="AG268" s="8"/>
    </row>
    <row r="269" ht="13.5" customHeight="1">
      <c r="A269" s="8"/>
      <c r="B269" s="278"/>
      <c r="C269" s="278"/>
      <c r="D269" s="8"/>
      <c r="E269" s="278"/>
      <c r="F269" s="278"/>
      <c r="G269" s="278"/>
      <c r="H269" s="278"/>
      <c r="I269" s="278"/>
      <c r="J269" s="27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278"/>
      <c r="AE269" s="8"/>
      <c r="AF269" s="8"/>
      <c r="AG269" s="8"/>
    </row>
    <row r="270" ht="13.5" customHeight="1">
      <c r="A270" s="8"/>
      <c r="B270" s="278"/>
      <c r="C270" s="278"/>
      <c r="D270" s="8"/>
      <c r="E270" s="278"/>
      <c r="F270" s="278"/>
      <c r="G270" s="278"/>
      <c r="H270" s="278"/>
      <c r="I270" s="278"/>
      <c r="J270" s="27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278"/>
      <c r="AE270" s="8"/>
      <c r="AF270" s="8"/>
      <c r="AG270" s="8"/>
    </row>
    <row r="271" ht="13.5" customHeight="1">
      <c r="A271" s="8"/>
      <c r="B271" s="278"/>
      <c r="C271" s="278"/>
      <c r="D271" s="8"/>
      <c r="E271" s="278"/>
      <c r="F271" s="278"/>
      <c r="G271" s="278"/>
      <c r="H271" s="278"/>
      <c r="I271" s="278"/>
      <c r="J271" s="27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278"/>
      <c r="AE271" s="8"/>
      <c r="AF271" s="8"/>
      <c r="AG271" s="8"/>
    </row>
    <row r="272" ht="13.5" customHeight="1">
      <c r="A272" s="8"/>
      <c r="B272" s="278"/>
      <c r="C272" s="278"/>
      <c r="D272" s="8"/>
      <c r="E272" s="278"/>
      <c r="F272" s="278"/>
      <c r="G272" s="278"/>
      <c r="H272" s="278"/>
      <c r="I272" s="278"/>
      <c r="J272" s="27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278"/>
      <c r="AE272" s="8"/>
      <c r="AF272" s="8"/>
      <c r="AG272" s="8"/>
    </row>
    <row r="273" ht="13.5" customHeight="1">
      <c r="A273" s="8"/>
      <c r="B273" s="278"/>
      <c r="C273" s="278"/>
      <c r="D273" s="8"/>
      <c r="E273" s="278"/>
      <c r="F273" s="278"/>
      <c r="G273" s="278"/>
      <c r="H273" s="278"/>
      <c r="I273" s="278"/>
      <c r="J273" s="27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278"/>
      <c r="AE273" s="8"/>
      <c r="AF273" s="8"/>
      <c r="AG273" s="8"/>
    </row>
    <row r="274" ht="13.5" customHeight="1">
      <c r="A274" s="8"/>
      <c r="B274" s="278"/>
      <c r="C274" s="278"/>
      <c r="D274" s="8"/>
      <c r="E274" s="278"/>
      <c r="F274" s="278"/>
      <c r="G274" s="278"/>
      <c r="H274" s="278"/>
      <c r="I274" s="278"/>
      <c r="J274" s="27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278"/>
      <c r="AE274" s="8"/>
      <c r="AF274" s="8"/>
      <c r="AG274" s="8"/>
    </row>
    <row r="275" ht="13.5" customHeight="1">
      <c r="A275" s="8"/>
      <c r="B275" s="278"/>
      <c r="C275" s="278"/>
      <c r="D275" s="8"/>
      <c r="E275" s="278"/>
      <c r="F275" s="278"/>
      <c r="G275" s="278"/>
      <c r="H275" s="278"/>
      <c r="I275" s="278"/>
      <c r="J275" s="27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278"/>
      <c r="AE275" s="8"/>
      <c r="AF275" s="8"/>
      <c r="AG275" s="8"/>
    </row>
    <row r="276" ht="13.5" customHeight="1">
      <c r="A276" s="8"/>
      <c r="B276" s="278"/>
      <c r="C276" s="278"/>
      <c r="D276" s="8"/>
      <c r="E276" s="278"/>
      <c r="F276" s="278"/>
      <c r="G276" s="278"/>
      <c r="H276" s="278"/>
      <c r="I276" s="278"/>
      <c r="J276" s="27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278"/>
      <c r="AE276" s="8"/>
      <c r="AF276" s="8"/>
      <c r="AG276" s="8"/>
    </row>
    <row r="277" ht="13.5" customHeight="1">
      <c r="A277" s="8"/>
      <c r="B277" s="278"/>
      <c r="C277" s="278"/>
      <c r="D277" s="8"/>
      <c r="E277" s="278"/>
      <c r="F277" s="278"/>
      <c r="G277" s="278"/>
      <c r="H277" s="278"/>
      <c r="I277" s="278"/>
      <c r="J277" s="27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278"/>
      <c r="AE277" s="8"/>
      <c r="AF277" s="8"/>
      <c r="AG277" s="8"/>
    </row>
    <row r="278" ht="13.5" customHeight="1">
      <c r="A278" s="8"/>
      <c r="B278" s="278"/>
      <c r="C278" s="278"/>
      <c r="D278" s="8"/>
      <c r="E278" s="278"/>
      <c r="F278" s="278"/>
      <c r="G278" s="278"/>
      <c r="H278" s="278"/>
      <c r="I278" s="278"/>
      <c r="J278" s="27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278"/>
      <c r="AE278" s="8"/>
      <c r="AF278" s="8"/>
      <c r="AG278" s="8"/>
    </row>
    <row r="279" ht="13.5" customHeight="1">
      <c r="A279" s="8"/>
      <c r="B279" s="278"/>
      <c r="C279" s="278"/>
      <c r="D279" s="8"/>
      <c r="E279" s="278"/>
      <c r="F279" s="278"/>
      <c r="G279" s="278"/>
      <c r="H279" s="278"/>
      <c r="I279" s="278"/>
      <c r="J279" s="27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278"/>
      <c r="AE279" s="8"/>
      <c r="AF279" s="8"/>
      <c r="AG279" s="8"/>
    </row>
    <row r="280" ht="13.5" customHeight="1">
      <c r="A280" s="8"/>
      <c r="B280" s="278"/>
      <c r="C280" s="278"/>
      <c r="D280" s="8"/>
      <c r="E280" s="278"/>
      <c r="F280" s="278"/>
      <c r="G280" s="278"/>
      <c r="H280" s="278"/>
      <c r="I280" s="278"/>
      <c r="J280" s="27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278"/>
      <c r="AE280" s="8"/>
      <c r="AF280" s="8"/>
      <c r="AG280" s="8"/>
    </row>
    <row r="281" ht="13.5" customHeight="1">
      <c r="A281" s="8"/>
      <c r="B281" s="278"/>
      <c r="C281" s="278"/>
      <c r="D281" s="8"/>
      <c r="E281" s="278"/>
      <c r="F281" s="278"/>
      <c r="G281" s="278"/>
      <c r="H281" s="278"/>
      <c r="I281" s="278"/>
      <c r="J281" s="27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278"/>
      <c r="AE281" s="8"/>
      <c r="AF281" s="8"/>
      <c r="AG281" s="8"/>
    </row>
    <row r="282" ht="13.5" customHeight="1">
      <c r="A282" s="8"/>
      <c r="B282" s="278"/>
      <c r="C282" s="278"/>
      <c r="D282" s="8"/>
      <c r="E282" s="278"/>
      <c r="F282" s="278"/>
      <c r="G282" s="278"/>
      <c r="H282" s="278"/>
      <c r="I282" s="278"/>
      <c r="J282" s="27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278"/>
      <c r="AE282" s="8"/>
      <c r="AF282" s="8"/>
      <c r="AG282" s="8"/>
    </row>
    <row r="283" ht="13.5" customHeight="1">
      <c r="A283" s="8"/>
      <c r="B283" s="278"/>
      <c r="C283" s="278"/>
      <c r="D283" s="8"/>
      <c r="E283" s="278"/>
      <c r="F283" s="278"/>
      <c r="G283" s="278"/>
      <c r="H283" s="278"/>
      <c r="I283" s="278"/>
      <c r="J283" s="27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278"/>
      <c r="AE283" s="8"/>
      <c r="AF283" s="8"/>
      <c r="AG283" s="8"/>
    </row>
    <row r="284" ht="13.5" customHeight="1">
      <c r="A284" s="8"/>
      <c r="B284" s="278"/>
      <c r="C284" s="278"/>
      <c r="D284" s="8"/>
      <c r="E284" s="278"/>
      <c r="F284" s="278"/>
      <c r="G284" s="278"/>
      <c r="H284" s="278"/>
      <c r="I284" s="278"/>
      <c r="J284" s="27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278"/>
      <c r="AE284" s="8"/>
      <c r="AF284" s="8"/>
      <c r="AG284" s="8"/>
    </row>
    <row r="285" ht="13.5" customHeight="1">
      <c r="A285" s="8"/>
      <c r="B285" s="278"/>
      <c r="C285" s="278"/>
      <c r="D285" s="8"/>
      <c r="E285" s="278"/>
      <c r="F285" s="278"/>
      <c r="G285" s="278"/>
      <c r="H285" s="278"/>
      <c r="I285" s="278"/>
      <c r="J285" s="27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278"/>
      <c r="AE285" s="8"/>
      <c r="AF285" s="8"/>
      <c r="AG285" s="8"/>
    </row>
    <row r="286" ht="13.5" customHeight="1">
      <c r="A286" s="8"/>
      <c r="B286" s="278"/>
      <c r="C286" s="278"/>
      <c r="D286" s="8"/>
      <c r="E286" s="278"/>
      <c r="F286" s="278"/>
      <c r="G286" s="278"/>
      <c r="H286" s="278"/>
      <c r="I286" s="278"/>
      <c r="J286" s="27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278"/>
      <c r="AE286" s="8"/>
      <c r="AF286" s="8"/>
      <c r="AG286" s="8"/>
    </row>
    <row r="287" ht="13.5" customHeight="1">
      <c r="A287" s="8"/>
      <c r="B287" s="278"/>
      <c r="C287" s="278"/>
      <c r="D287" s="8"/>
      <c r="E287" s="278"/>
      <c r="F287" s="278"/>
      <c r="G287" s="278"/>
      <c r="H287" s="278"/>
      <c r="I287" s="278"/>
      <c r="J287" s="27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278"/>
      <c r="AE287" s="8"/>
      <c r="AF287" s="8"/>
      <c r="AG287" s="8"/>
    </row>
    <row r="288" ht="13.5" customHeight="1">
      <c r="A288" s="8"/>
      <c r="B288" s="278"/>
      <c r="C288" s="278"/>
      <c r="D288" s="8"/>
      <c r="E288" s="278"/>
      <c r="F288" s="278"/>
      <c r="G288" s="278"/>
      <c r="H288" s="278"/>
      <c r="I288" s="278"/>
      <c r="J288" s="27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278"/>
      <c r="AE288" s="8"/>
      <c r="AF288" s="8"/>
      <c r="AG288" s="8"/>
    </row>
    <row r="289" ht="13.5" customHeight="1">
      <c r="A289" s="8"/>
      <c r="B289" s="278"/>
      <c r="C289" s="278"/>
      <c r="D289" s="8"/>
      <c r="E289" s="278"/>
      <c r="F289" s="278"/>
      <c r="G289" s="278"/>
      <c r="H289" s="278"/>
      <c r="I289" s="278"/>
      <c r="J289" s="27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278"/>
      <c r="AE289" s="8"/>
      <c r="AF289" s="8"/>
      <c r="AG289" s="8"/>
    </row>
    <row r="290" ht="13.5" customHeight="1">
      <c r="A290" s="8"/>
      <c r="B290" s="278"/>
      <c r="C290" s="278"/>
      <c r="D290" s="8"/>
      <c r="E290" s="278"/>
      <c r="F290" s="278"/>
      <c r="G290" s="278"/>
      <c r="H290" s="278"/>
      <c r="I290" s="278"/>
      <c r="J290" s="27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278"/>
      <c r="AE290" s="8"/>
      <c r="AF290" s="8"/>
      <c r="AG290" s="8"/>
    </row>
    <row r="291" ht="13.5" customHeight="1">
      <c r="A291" s="8"/>
      <c r="B291" s="278"/>
      <c r="C291" s="278"/>
      <c r="D291" s="8"/>
      <c r="E291" s="278"/>
      <c r="F291" s="278"/>
      <c r="G291" s="278"/>
      <c r="H291" s="278"/>
      <c r="I291" s="278"/>
      <c r="J291" s="27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278"/>
      <c r="AE291" s="8"/>
      <c r="AF291" s="8"/>
      <c r="AG291" s="8"/>
    </row>
    <row r="292" ht="13.5" customHeight="1">
      <c r="A292" s="8"/>
      <c r="B292" s="278"/>
      <c r="C292" s="278"/>
      <c r="D292" s="8"/>
      <c r="E292" s="278"/>
      <c r="F292" s="278"/>
      <c r="G292" s="278"/>
      <c r="H292" s="278"/>
      <c r="I292" s="278"/>
      <c r="J292" s="27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278"/>
      <c r="AE292" s="8"/>
      <c r="AF292" s="8"/>
      <c r="AG292" s="8"/>
    </row>
    <row r="293" ht="13.5" customHeight="1">
      <c r="A293" s="8"/>
      <c r="B293" s="278"/>
      <c r="C293" s="278"/>
      <c r="D293" s="8"/>
      <c r="E293" s="278"/>
      <c r="F293" s="278"/>
      <c r="G293" s="278"/>
      <c r="H293" s="278"/>
      <c r="I293" s="278"/>
      <c r="J293" s="27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278"/>
      <c r="AE293" s="8"/>
      <c r="AF293" s="8"/>
      <c r="AG293" s="8"/>
    </row>
    <row r="294" ht="13.5" customHeight="1">
      <c r="A294" s="8"/>
      <c r="B294" s="278"/>
      <c r="C294" s="278"/>
      <c r="D294" s="8"/>
      <c r="E294" s="278"/>
      <c r="F294" s="278"/>
      <c r="G294" s="278"/>
      <c r="H294" s="278"/>
      <c r="I294" s="278"/>
      <c r="J294" s="27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278"/>
      <c r="AE294" s="8"/>
      <c r="AF294" s="8"/>
      <c r="AG294" s="8"/>
    </row>
    <row r="295" ht="13.5" customHeight="1">
      <c r="A295" s="8"/>
      <c r="B295" s="278"/>
      <c r="C295" s="278"/>
      <c r="D295" s="8"/>
      <c r="E295" s="278"/>
      <c r="F295" s="278"/>
      <c r="G295" s="278"/>
      <c r="H295" s="278"/>
      <c r="I295" s="278"/>
      <c r="J295" s="27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278"/>
      <c r="AE295" s="8"/>
      <c r="AF295" s="8"/>
      <c r="AG295" s="8"/>
    </row>
    <row r="296" ht="13.5" customHeight="1">
      <c r="A296" s="8"/>
      <c r="B296" s="278"/>
      <c r="C296" s="278"/>
      <c r="D296" s="8"/>
      <c r="E296" s="278"/>
      <c r="F296" s="278"/>
      <c r="G296" s="278"/>
      <c r="H296" s="278"/>
      <c r="I296" s="278"/>
      <c r="J296" s="27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278"/>
      <c r="AE296" s="8"/>
      <c r="AF296" s="8"/>
      <c r="AG296" s="8"/>
    </row>
    <row r="297" ht="13.5" customHeight="1">
      <c r="A297" s="8"/>
      <c r="B297" s="278"/>
      <c r="C297" s="278"/>
      <c r="D297" s="8"/>
      <c r="E297" s="278"/>
      <c r="F297" s="278"/>
      <c r="G297" s="278"/>
      <c r="H297" s="278"/>
      <c r="I297" s="278"/>
      <c r="J297" s="27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278"/>
      <c r="AE297" s="8"/>
      <c r="AF297" s="8"/>
      <c r="AG297" s="8"/>
    </row>
    <row r="298" ht="13.5" customHeight="1">
      <c r="A298" s="8"/>
      <c r="B298" s="278"/>
      <c r="C298" s="278"/>
      <c r="D298" s="8"/>
      <c r="E298" s="278"/>
      <c r="F298" s="278"/>
      <c r="G298" s="278"/>
      <c r="H298" s="278"/>
      <c r="I298" s="278"/>
      <c r="J298" s="27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278"/>
      <c r="AE298" s="8"/>
      <c r="AF298" s="8"/>
      <c r="AG298" s="8"/>
    </row>
    <row r="299" ht="13.5" customHeight="1">
      <c r="A299" s="8"/>
      <c r="B299" s="278"/>
      <c r="C299" s="278"/>
      <c r="D299" s="8"/>
      <c r="E299" s="278"/>
      <c r="F299" s="278"/>
      <c r="G299" s="278"/>
      <c r="H299" s="278"/>
      <c r="I299" s="278"/>
      <c r="J299" s="27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278"/>
      <c r="AE299" s="8"/>
      <c r="AF299" s="8"/>
      <c r="AG299" s="8"/>
    </row>
    <row r="300" ht="13.5" customHeight="1">
      <c r="A300" s="8"/>
      <c r="B300" s="278"/>
      <c r="C300" s="278"/>
      <c r="D300" s="8"/>
      <c r="E300" s="278"/>
      <c r="F300" s="278"/>
      <c r="G300" s="278"/>
      <c r="H300" s="278"/>
      <c r="I300" s="278"/>
      <c r="J300" s="27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278"/>
      <c r="AE300" s="8"/>
      <c r="AF300" s="8"/>
      <c r="AG300" s="8"/>
    </row>
    <row r="301" ht="13.5" customHeight="1">
      <c r="A301" s="8"/>
      <c r="B301" s="278"/>
      <c r="C301" s="278"/>
      <c r="D301" s="8"/>
      <c r="E301" s="278"/>
      <c r="F301" s="278"/>
      <c r="G301" s="278"/>
      <c r="H301" s="278"/>
      <c r="I301" s="278"/>
      <c r="J301" s="27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278"/>
      <c r="AE301" s="8"/>
      <c r="AF301" s="8"/>
      <c r="AG301" s="8"/>
    </row>
    <row r="302" ht="13.5" customHeight="1">
      <c r="A302" s="8"/>
      <c r="B302" s="278"/>
      <c r="C302" s="278"/>
      <c r="D302" s="8"/>
      <c r="E302" s="278"/>
      <c r="F302" s="278"/>
      <c r="G302" s="278"/>
      <c r="H302" s="278"/>
      <c r="I302" s="278"/>
      <c r="J302" s="27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278"/>
      <c r="AE302" s="8"/>
      <c r="AF302" s="8"/>
      <c r="AG302" s="8"/>
    </row>
    <row r="303" ht="13.5" customHeight="1">
      <c r="A303" s="8"/>
      <c r="B303" s="278"/>
      <c r="C303" s="278"/>
      <c r="D303" s="8"/>
      <c r="E303" s="278"/>
      <c r="F303" s="278"/>
      <c r="G303" s="278"/>
      <c r="H303" s="278"/>
      <c r="I303" s="278"/>
      <c r="J303" s="27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278"/>
      <c r="AE303" s="8"/>
      <c r="AF303" s="8"/>
      <c r="AG303" s="8"/>
    </row>
    <row r="304" ht="13.5" customHeight="1">
      <c r="A304" s="8"/>
      <c r="B304" s="278"/>
      <c r="C304" s="278"/>
      <c r="D304" s="8"/>
      <c r="E304" s="278"/>
      <c r="F304" s="278"/>
      <c r="G304" s="278"/>
      <c r="H304" s="278"/>
      <c r="I304" s="278"/>
      <c r="J304" s="27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278"/>
      <c r="AE304" s="8"/>
      <c r="AF304" s="8"/>
      <c r="AG304" s="8"/>
    </row>
    <row r="305" ht="13.5" customHeight="1">
      <c r="A305" s="8"/>
      <c r="B305" s="278"/>
      <c r="C305" s="278"/>
      <c r="D305" s="8"/>
      <c r="E305" s="278"/>
      <c r="F305" s="278"/>
      <c r="G305" s="278"/>
      <c r="H305" s="278"/>
      <c r="I305" s="278"/>
      <c r="J305" s="27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278"/>
      <c r="AE305" s="8"/>
      <c r="AF305" s="8"/>
      <c r="AG305" s="8"/>
    </row>
    <row r="306" ht="13.5" customHeight="1">
      <c r="A306" s="8"/>
      <c r="B306" s="278"/>
      <c r="C306" s="278"/>
      <c r="D306" s="8"/>
      <c r="E306" s="278"/>
      <c r="F306" s="278"/>
      <c r="G306" s="278"/>
      <c r="H306" s="278"/>
      <c r="I306" s="278"/>
      <c r="J306" s="27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278"/>
      <c r="AE306" s="8"/>
      <c r="AF306" s="8"/>
      <c r="AG306" s="8"/>
    </row>
    <row r="307" ht="13.5" customHeight="1">
      <c r="A307" s="8"/>
      <c r="B307" s="278"/>
      <c r="C307" s="278"/>
      <c r="D307" s="8"/>
      <c r="E307" s="278"/>
      <c r="F307" s="278"/>
      <c r="G307" s="278"/>
      <c r="H307" s="278"/>
      <c r="I307" s="278"/>
      <c r="J307" s="27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278"/>
      <c r="AE307" s="8"/>
      <c r="AF307" s="8"/>
      <c r="AG307" s="8"/>
    </row>
    <row r="308" ht="13.5" customHeight="1">
      <c r="A308" s="8"/>
      <c r="B308" s="278"/>
      <c r="C308" s="278"/>
      <c r="D308" s="8"/>
      <c r="E308" s="278"/>
      <c r="F308" s="278"/>
      <c r="G308" s="278"/>
      <c r="H308" s="278"/>
      <c r="I308" s="278"/>
      <c r="J308" s="27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278"/>
      <c r="AE308" s="8"/>
      <c r="AF308" s="8"/>
      <c r="AG308" s="8"/>
    </row>
    <row r="309" ht="13.5" customHeight="1">
      <c r="A309" s="8"/>
      <c r="B309" s="278"/>
      <c r="C309" s="278"/>
      <c r="D309" s="8"/>
      <c r="E309" s="278"/>
      <c r="F309" s="278"/>
      <c r="G309" s="278"/>
      <c r="H309" s="278"/>
      <c r="I309" s="278"/>
      <c r="J309" s="27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278"/>
      <c r="AE309" s="8"/>
      <c r="AF309" s="8"/>
      <c r="AG309" s="8"/>
    </row>
    <row r="310" ht="13.5" customHeight="1">
      <c r="A310" s="8"/>
      <c r="B310" s="278"/>
      <c r="C310" s="278"/>
      <c r="D310" s="8"/>
      <c r="E310" s="278"/>
      <c r="F310" s="278"/>
      <c r="G310" s="278"/>
      <c r="H310" s="278"/>
      <c r="I310" s="278"/>
      <c r="J310" s="27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278"/>
      <c r="AE310" s="8"/>
      <c r="AF310" s="8"/>
      <c r="AG310" s="8"/>
    </row>
    <row r="311" ht="13.5" customHeight="1">
      <c r="A311" s="8"/>
      <c r="B311" s="278"/>
      <c r="C311" s="278"/>
      <c r="D311" s="8"/>
      <c r="E311" s="278"/>
      <c r="F311" s="278"/>
      <c r="G311" s="278"/>
      <c r="H311" s="278"/>
      <c r="I311" s="278"/>
      <c r="J311" s="27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278"/>
      <c r="AE311" s="8"/>
      <c r="AF311" s="8"/>
      <c r="AG311" s="8"/>
    </row>
    <row r="312" ht="13.5" customHeight="1">
      <c r="A312" s="8"/>
      <c r="B312" s="278"/>
      <c r="C312" s="278"/>
      <c r="D312" s="8"/>
      <c r="E312" s="278"/>
      <c r="F312" s="278"/>
      <c r="G312" s="278"/>
      <c r="H312" s="278"/>
      <c r="I312" s="278"/>
      <c r="J312" s="27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278"/>
      <c r="AE312" s="8"/>
      <c r="AF312" s="8"/>
      <c r="AG312" s="8"/>
    </row>
    <row r="313" ht="13.5" customHeight="1">
      <c r="A313" s="8"/>
      <c r="B313" s="278"/>
      <c r="C313" s="278"/>
      <c r="D313" s="8"/>
      <c r="E313" s="278"/>
      <c r="F313" s="278"/>
      <c r="G313" s="278"/>
      <c r="H313" s="278"/>
      <c r="I313" s="278"/>
      <c r="J313" s="27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278"/>
      <c r="AE313" s="8"/>
      <c r="AF313" s="8"/>
      <c r="AG313" s="8"/>
    </row>
    <row r="314" ht="13.5" customHeight="1">
      <c r="A314" s="8"/>
      <c r="B314" s="278"/>
      <c r="C314" s="278"/>
      <c r="D314" s="8"/>
      <c r="E314" s="278"/>
      <c r="F314" s="278"/>
      <c r="G314" s="278"/>
      <c r="H314" s="278"/>
      <c r="I314" s="278"/>
      <c r="J314" s="27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278"/>
      <c r="AE314" s="8"/>
      <c r="AF314" s="8"/>
      <c r="AG314" s="8"/>
    </row>
    <row r="315" ht="13.5" customHeight="1">
      <c r="A315" s="8"/>
      <c r="B315" s="278"/>
      <c r="C315" s="278"/>
      <c r="D315" s="8"/>
      <c r="E315" s="278"/>
      <c r="F315" s="278"/>
      <c r="G315" s="278"/>
      <c r="H315" s="278"/>
      <c r="I315" s="278"/>
      <c r="J315" s="27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278"/>
      <c r="AE315" s="8"/>
      <c r="AF315" s="8"/>
      <c r="AG315" s="8"/>
    </row>
    <row r="316" ht="13.5" customHeight="1">
      <c r="A316" s="8"/>
      <c r="B316" s="278"/>
      <c r="C316" s="278"/>
      <c r="D316" s="8"/>
      <c r="E316" s="278"/>
      <c r="F316" s="278"/>
      <c r="G316" s="278"/>
      <c r="H316" s="278"/>
      <c r="I316" s="278"/>
      <c r="J316" s="27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278"/>
      <c r="AE316" s="8"/>
      <c r="AF316" s="8"/>
      <c r="AG316" s="8"/>
    </row>
    <row r="317" ht="13.5" customHeight="1">
      <c r="A317" s="8"/>
      <c r="B317" s="278"/>
      <c r="C317" s="278"/>
      <c r="D317" s="8"/>
      <c r="E317" s="278"/>
      <c r="F317" s="278"/>
      <c r="G317" s="278"/>
      <c r="H317" s="278"/>
      <c r="I317" s="278"/>
      <c r="J317" s="27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278"/>
      <c r="AE317" s="8"/>
      <c r="AF317" s="8"/>
      <c r="AG317" s="8"/>
    </row>
    <row r="318" ht="13.5" customHeight="1">
      <c r="A318" s="8"/>
      <c r="B318" s="278"/>
      <c r="C318" s="278"/>
      <c r="D318" s="8"/>
      <c r="E318" s="278"/>
      <c r="F318" s="278"/>
      <c r="G318" s="278"/>
      <c r="H318" s="278"/>
      <c r="I318" s="278"/>
      <c r="J318" s="27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278"/>
      <c r="AE318" s="8"/>
      <c r="AF318" s="8"/>
      <c r="AG318" s="8"/>
    </row>
    <row r="319" ht="13.5" customHeight="1">
      <c r="A319" s="8"/>
      <c r="B319" s="278"/>
      <c r="C319" s="278"/>
      <c r="D319" s="8"/>
      <c r="E319" s="278"/>
      <c r="F319" s="278"/>
      <c r="G319" s="278"/>
      <c r="H319" s="278"/>
      <c r="I319" s="278"/>
      <c r="J319" s="27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278"/>
      <c r="AE319" s="8"/>
      <c r="AF319" s="8"/>
      <c r="AG319" s="8"/>
    </row>
    <row r="320" ht="13.5" customHeight="1">
      <c r="A320" s="8"/>
      <c r="B320" s="278"/>
      <c r="C320" s="278"/>
      <c r="D320" s="8"/>
      <c r="E320" s="278"/>
      <c r="F320" s="278"/>
      <c r="G320" s="278"/>
      <c r="H320" s="278"/>
      <c r="I320" s="278"/>
      <c r="J320" s="27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278"/>
      <c r="AE320" s="8"/>
      <c r="AF320" s="8"/>
      <c r="AG320" s="8"/>
    </row>
    <row r="321" ht="13.5" customHeight="1">
      <c r="A321" s="8"/>
      <c r="B321" s="278"/>
      <c r="C321" s="278"/>
      <c r="D321" s="8"/>
      <c r="E321" s="278"/>
      <c r="F321" s="278"/>
      <c r="G321" s="278"/>
      <c r="H321" s="278"/>
      <c r="I321" s="278"/>
      <c r="J321" s="27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278"/>
      <c r="AE321" s="8"/>
      <c r="AF321" s="8"/>
      <c r="AG321" s="8"/>
    </row>
    <row r="322" ht="13.5" customHeight="1">
      <c r="A322" s="8"/>
      <c r="B322" s="278"/>
      <c r="C322" s="278"/>
      <c r="D322" s="8"/>
      <c r="E322" s="278"/>
      <c r="F322" s="278"/>
      <c r="G322" s="278"/>
      <c r="H322" s="278"/>
      <c r="I322" s="278"/>
      <c r="J322" s="27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278"/>
      <c r="AE322" s="8"/>
      <c r="AF322" s="8"/>
      <c r="AG322" s="8"/>
    </row>
    <row r="323" ht="13.5" customHeight="1">
      <c r="A323" s="8"/>
      <c r="B323" s="278"/>
      <c r="C323" s="278"/>
      <c r="D323" s="8"/>
      <c r="E323" s="278"/>
      <c r="F323" s="278"/>
      <c r="G323" s="278"/>
      <c r="H323" s="278"/>
      <c r="I323" s="278"/>
      <c r="J323" s="27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278"/>
      <c r="AE323" s="8"/>
      <c r="AF323" s="8"/>
      <c r="AG323" s="8"/>
    </row>
    <row r="324" ht="13.5" customHeight="1">
      <c r="A324" s="8"/>
      <c r="B324" s="278"/>
      <c r="C324" s="278"/>
      <c r="D324" s="8"/>
      <c r="E324" s="278"/>
      <c r="F324" s="278"/>
      <c r="G324" s="278"/>
      <c r="H324" s="278"/>
      <c r="I324" s="278"/>
      <c r="J324" s="27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278"/>
      <c r="AE324" s="8"/>
      <c r="AF324" s="8"/>
      <c r="AG324" s="8"/>
    </row>
    <row r="325" ht="13.5" customHeight="1">
      <c r="A325" s="8"/>
      <c r="B325" s="278"/>
      <c r="C325" s="278"/>
      <c r="D325" s="8"/>
      <c r="E325" s="278"/>
      <c r="F325" s="278"/>
      <c r="G325" s="278"/>
      <c r="H325" s="278"/>
      <c r="I325" s="278"/>
      <c r="J325" s="27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278"/>
      <c r="AE325" s="8"/>
      <c r="AF325" s="8"/>
      <c r="AG325" s="8"/>
    </row>
    <row r="326" ht="13.5" customHeight="1">
      <c r="A326" s="8"/>
      <c r="B326" s="278"/>
      <c r="C326" s="278"/>
      <c r="D326" s="8"/>
      <c r="E326" s="278"/>
      <c r="F326" s="278"/>
      <c r="G326" s="278"/>
      <c r="H326" s="278"/>
      <c r="I326" s="278"/>
      <c r="J326" s="27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278"/>
      <c r="AE326" s="8"/>
      <c r="AF326" s="8"/>
      <c r="AG326" s="8"/>
    </row>
    <row r="327" ht="13.5" customHeight="1">
      <c r="A327" s="8"/>
      <c r="B327" s="278"/>
      <c r="C327" s="278"/>
      <c r="D327" s="8"/>
      <c r="E327" s="278"/>
      <c r="F327" s="278"/>
      <c r="G327" s="278"/>
      <c r="H327" s="278"/>
      <c r="I327" s="278"/>
      <c r="J327" s="27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278"/>
      <c r="AE327" s="8"/>
      <c r="AF327" s="8"/>
      <c r="AG327" s="8"/>
    </row>
    <row r="328" ht="13.5" customHeight="1">
      <c r="A328" s="8"/>
      <c r="B328" s="278"/>
      <c r="C328" s="278"/>
      <c r="D328" s="8"/>
      <c r="E328" s="278"/>
      <c r="F328" s="278"/>
      <c r="G328" s="278"/>
      <c r="H328" s="278"/>
      <c r="I328" s="278"/>
      <c r="J328" s="27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278"/>
      <c r="AE328" s="8"/>
      <c r="AF328" s="8"/>
      <c r="AG328" s="8"/>
    </row>
    <row r="329" ht="13.5" customHeight="1">
      <c r="A329" s="8"/>
      <c r="B329" s="278"/>
      <c r="C329" s="278"/>
      <c r="D329" s="8"/>
      <c r="E329" s="278"/>
      <c r="F329" s="278"/>
      <c r="G329" s="278"/>
      <c r="H329" s="278"/>
      <c r="I329" s="278"/>
      <c r="J329" s="27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278"/>
      <c r="AE329" s="8"/>
      <c r="AF329" s="8"/>
      <c r="AG329" s="8"/>
    </row>
    <row r="330" ht="13.5" customHeight="1">
      <c r="A330" s="8"/>
      <c r="B330" s="278"/>
      <c r="C330" s="278"/>
      <c r="D330" s="8"/>
      <c r="E330" s="278"/>
      <c r="F330" s="278"/>
      <c r="G330" s="278"/>
      <c r="H330" s="278"/>
      <c r="I330" s="278"/>
      <c r="J330" s="27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278"/>
      <c r="AE330" s="8"/>
      <c r="AF330" s="8"/>
      <c r="AG330" s="8"/>
    </row>
    <row r="331" ht="13.5" customHeight="1">
      <c r="A331" s="8"/>
      <c r="B331" s="278"/>
      <c r="C331" s="278"/>
      <c r="D331" s="8"/>
      <c r="E331" s="278"/>
      <c r="F331" s="278"/>
      <c r="G331" s="278"/>
      <c r="H331" s="278"/>
      <c r="I331" s="278"/>
      <c r="J331" s="27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278"/>
      <c r="AE331" s="8"/>
      <c r="AF331" s="8"/>
      <c r="AG331" s="8"/>
    </row>
    <row r="332" ht="13.5" customHeight="1">
      <c r="A332" s="8"/>
      <c r="B332" s="278"/>
      <c r="C332" s="278"/>
      <c r="D332" s="8"/>
      <c r="E332" s="278"/>
      <c r="F332" s="278"/>
      <c r="G332" s="278"/>
      <c r="H332" s="278"/>
      <c r="I332" s="278"/>
      <c r="J332" s="27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278"/>
      <c r="AE332" s="8"/>
      <c r="AF332" s="8"/>
      <c r="AG332" s="8"/>
    </row>
    <row r="333" ht="13.5" customHeight="1">
      <c r="A333" s="8"/>
      <c r="B333" s="278"/>
      <c r="C333" s="278"/>
      <c r="D333" s="8"/>
      <c r="E333" s="278"/>
      <c r="F333" s="278"/>
      <c r="G333" s="278"/>
      <c r="H333" s="278"/>
      <c r="I333" s="278"/>
      <c r="J333" s="27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278"/>
      <c r="AE333" s="8"/>
      <c r="AF333" s="8"/>
      <c r="AG333" s="8"/>
    </row>
    <row r="334" ht="13.5" customHeight="1">
      <c r="A334" s="8"/>
      <c r="B334" s="278"/>
      <c r="C334" s="278"/>
      <c r="D334" s="8"/>
      <c r="E334" s="278"/>
      <c r="F334" s="278"/>
      <c r="G334" s="278"/>
      <c r="H334" s="278"/>
      <c r="I334" s="278"/>
      <c r="J334" s="27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278"/>
      <c r="AE334" s="8"/>
      <c r="AF334" s="8"/>
      <c r="AG334" s="8"/>
    </row>
    <row r="335" ht="13.5" customHeight="1">
      <c r="A335" s="8"/>
      <c r="B335" s="278"/>
      <c r="C335" s="278"/>
      <c r="D335" s="8"/>
      <c r="E335" s="278"/>
      <c r="F335" s="278"/>
      <c r="G335" s="278"/>
      <c r="H335" s="278"/>
      <c r="I335" s="278"/>
      <c r="J335" s="27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278"/>
      <c r="AE335" s="8"/>
      <c r="AF335" s="8"/>
      <c r="AG335" s="8"/>
    </row>
    <row r="336" ht="13.5" customHeight="1">
      <c r="A336" s="8"/>
      <c r="B336" s="278"/>
      <c r="C336" s="278"/>
      <c r="D336" s="8"/>
      <c r="E336" s="278"/>
      <c r="F336" s="278"/>
      <c r="G336" s="278"/>
      <c r="H336" s="278"/>
      <c r="I336" s="278"/>
      <c r="J336" s="27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278"/>
      <c r="AE336" s="8"/>
      <c r="AF336" s="8"/>
      <c r="AG336" s="8"/>
    </row>
    <row r="337" ht="13.5" customHeight="1">
      <c r="A337" s="8"/>
      <c r="B337" s="278"/>
      <c r="C337" s="278"/>
      <c r="D337" s="8"/>
      <c r="E337" s="278"/>
      <c r="F337" s="278"/>
      <c r="G337" s="278"/>
      <c r="H337" s="278"/>
      <c r="I337" s="278"/>
      <c r="J337" s="27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278"/>
      <c r="AE337" s="8"/>
      <c r="AF337" s="8"/>
      <c r="AG337" s="8"/>
    </row>
    <row r="338" ht="13.5" customHeight="1">
      <c r="A338" s="8"/>
      <c r="B338" s="278"/>
      <c r="C338" s="278"/>
      <c r="D338" s="8"/>
      <c r="E338" s="278"/>
      <c r="F338" s="278"/>
      <c r="G338" s="278"/>
      <c r="H338" s="278"/>
      <c r="I338" s="278"/>
      <c r="J338" s="27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278"/>
      <c r="AE338" s="8"/>
      <c r="AF338" s="8"/>
      <c r="AG338" s="8"/>
    </row>
    <row r="339" ht="13.5" customHeight="1">
      <c r="A339" s="8"/>
      <c r="B339" s="278"/>
      <c r="C339" s="278"/>
      <c r="D339" s="8"/>
      <c r="E339" s="278"/>
      <c r="F339" s="278"/>
      <c r="G339" s="278"/>
      <c r="H339" s="278"/>
      <c r="I339" s="278"/>
      <c r="J339" s="27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278"/>
      <c r="AE339" s="8"/>
      <c r="AF339" s="8"/>
      <c r="AG339" s="8"/>
    </row>
    <row r="340" ht="13.5" customHeight="1">
      <c r="A340" s="8"/>
      <c r="B340" s="278"/>
      <c r="C340" s="278"/>
      <c r="D340" s="8"/>
      <c r="E340" s="278"/>
      <c r="F340" s="278"/>
      <c r="G340" s="278"/>
      <c r="H340" s="278"/>
      <c r="I340" s="278"/>
      <c r="J340" s="27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278"/>
      <c r="AE340" s="8"/>
      <c r="AF340" s="8"/>
      <c r="AG340" s="8"/>
    </row>
    <row r="341" ht="13.5" customHeight="1">
      <c r="A341" s="8"/>
      <c r="B341" s="278"/>
      <c r="C341" s="278"/>
      <c r="D341" s="8"/>
      <c r="E341" s="278"/>
      <c r="F341" s="278"/>
      <c r="G341" s="278"/>
      <c r="H341" s="278"/>
      <c r="I341" s="278"/>
      <c r="J341" s="27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278"/>
      <c r="AE341" s="8"/>
      <c r="AF341" s="8"/>
      <c r="AG341" s="8"/>
    </row>
    <row r="342" ht="13.5" customHeight="1">
      <c r="A342" s="8"/>
      <c r="B342" s="278"/>
      <c r="C342" s="278"/>
      <c r="D342" s="8"/>
      <c r="E342" s="278"/>
      <c r="F342" s="278"/>
      <c r="G342" s="278"/>
      <c r="H342" s="278"/>
      <c r="I342" s="278"/>
      <c r="J342" s="27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278"/>
      <c r="AE342" s="8"/>
      <c r="AF342" s="8"/>
      <c r="AG342" s="8"/>
    </row>
    <row r="343" ht="13.5" customHeight="1">
      <c r="A343" s="8"/>
      <c r="B343" s="278"/>
      <c r="C343" s="278"/>
      <c r="D343" s="8"/>
      <c r="E343" s="278"/>
      <c r="F343" s="278"/>
      <c r="G343" s="278"/>
      <c r="H343" s="278"/>
      <c r="I343" s="278"/>
      <c r="J343" s="27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278"/>
      <c r="AE343" s="8"/>
      <c r="AF343" s="8"/>
      <c r="AG343" s="8"/>
    </row>
    <row r="344" ht="13.5" customHeight="1">
      <c r="A344" s="8"/>
      <c r="B344" s="278"/>
      <c r="C344" s="278"/>
      <c r="D344" s="8"/>
      <c r="E344" s="278"/>
      <c r="F344" s="278"/>
      <c r="G344" s="278"/>
      <c r="H344" s="278"/>
      <c r="I344" s="278"/>
      <c r="J344" s="27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278"/>
      <c r="AE344" s="8"/>
      <c r="AF344" s="8"/>
      <c r="AG344" s="8"/>
    </row>
    <row r="345" ht="13.5" customHeight="1">
      <c r="A345" s="8"/>
      <c r="B345" s="278"/>
      <c r="C345" s="278"/>
      <c r="D345" s="8"/>
      <c r="E345" s="278"/>
      <c r="F345" s="278"/>
      <c r="G345" s="278"/>
      <c r="H345" s="278"/>
      <c r="I345" s="278"/>
      <c r="J345" s="27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278"/>
      <c r="AE345" s="8"/>
      <c r="AF345" s="8"/>
      <c r="AG345" s="8"/>
    </row>
    <row r="346" ht="13.5" customHeight="1">
      <c r="A346" s="8"/>
      <c r="B346" s="278"/>
      <c r="C346" s="278"/>
      <c r="D346" s="8"/>
      <c r="E346" s="278"/>
      <c r="F346" s="278"/>
      <c r="G346" s="278"/>
      <c r="H346" s="278"/>
      <c r="I346" s="278"/>
      <c r="J346" s="27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278"/>
      <c r="AE346" s="8"/>
      <c r="AF346" s="8"/>
      <c r="AG346" s="8"/>
    </row>
    <row r="347" ht="13.5" customHeight="1">
      <c r="A347" s="8"/>
      <c r="B347" s="278"/>
      <c r="C347" s="278"/>
      <c r="D347" s="8"/>
      <c r="E347" s="278"/>
      <c r="F347" s="278"/>
      <c r="G347" s="278"/>
      <c r="H347" s="278"/>
      <c r="I347" s="278"/>
      <c r="J347" s="27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278"/>
      <c r="AE347" s="8"/>
      <c r="AF347" s="8"/>
      <c r="AG347" s="8"/>
    </row>
    <row r="348" ht="13.5" customHeight="1">
      <c r="A348" s="8"/>
      <c r="B348" s="278"/>
      <c r="C348" s="278"/>
      <c r="D348" s="8"/>
      <c r="E348" s="278"/>
      <c r="F348" s="278"/>
      <c r="G348" s="278"/>
      <c r="H348" s="278"/>
      <c r="I348" s="278"/>
      <c r="J348" s="27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278"/>
      <c r="AE348" s="8"/>
      <c r="AF348" s="8"/>
      <c r="AG348" s="8"/>
    </row>
    <row r="349" ht="13.5" customHeight="1">
      <c r="A349" s="8"/>
      <c r="B349" s="278"/>
      <c r="C349" s="278"/>
      <c r="D349" s="8"/>
      <c r="E349" s="278"/>
      <c r="F349" s="278"/>
      <c r="G349" s="278"/>
      <c r="H349" s="278"/>
      <c r="I349" s="278"/>
      <c r="J349" s="27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278"/>
      <c r="AE349" s="8"/>
      <c r="AF349" s="8"/>
      <c r="AG349" s="8"/>
    </row>
    <row r="350" ht="13.5" customHeight="1">
      <c r="A350" s="8"/>
      <c r="B350" s="278"/>
      <c r="C350" s="278"/>
      <c r="D350" s="8"/>
      <c r="E350" s="278"/>
      <c r="F350" s="278"/>
      <c r="G350" s="278"/>
      <c r="H350" s="278"/>
      <c r="I350" s="278"/>
      <c r="J350" s="27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278"/>
      <c r="AE350" s="8"/>
      <c r="AF350" s="8"/>
      <c r="AG350" s="8"/>
    </row>
    <row r="351" ht="13.5" customHeight="1">
      <c r="A351" s="8"/>
      <c r="B351" s="278"/>
      <c r="C351" s="278"/>
      <c r="D351" s="8"/>
      <c r="E351" s="278"/>
      <c r="F351" s="278"/>
      <c r="G351" s="278"/>
      <c r="H351" s="278"/>
      <c r="I351" s="278"/>
      <c r="J351" s="27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278"/>
      <c r="AE351" s="8"/>
      <c r="AF351" s="8"/>
      <c r="AG351" s="8"/>
    </row>
    <row r="352" ht="13.5" customHeight="1">
      <c r="A352" s="8"/>
      <c r="B352" s="278"/>
      <c r="C352" s="278"/>
      <c r="D352" s="8"/>
      <c r="E352" s="278"/>
      <c r="F352" s="278"/>
      <c r="G352" s="278"/>
      <c r="H352" s="278"/>
      <c r="I352" s="278"/>
      <c r="J352" s="27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278"/>
      <c r="AE352" s="8"/>
      <c r="AF352" s="8"/>
      <c r="AG352" s="8"/>
    </row>
    <row r="353" ht="13.5" customHeight="1">
      <c r="A353" s="8"/>
      <c r="B353" s="278"/>
      <c r="C353" s="278"/>
      <c r="D353" s="8"/>
      <c r="E353" s="278"/>
      <c r="F353" s="278"/>
      <c r="G353" s="278"/>
      <c r="H353" s="278"/>
      <c r="I353" s="278"/>
      <c r="J353" s="27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278"/>
      <c r="AE353" s="8"/>
      <c r="AF353" s="8"/>
      <c r="AG353" s="8"/>
    </row>
    <row r="354" ht="13.5" customHeight="1">
      <c r="A354" s="8"/>
      <c r="B354" s="278"/>
      <c r="C354" s="278"/>
      <c r="D354" s="8"/>
      <c r="E354" s="278"/>
      <c r="F354" s="278"/>
      <c r="G354" s="278"/>
      <c r="H354" s="278"/>
      <c r="I354" s="278"/>
      <c r="J354" s="27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278"/>
      <c r="AE354" s="8"/>
      <c r="AF354" s="8"/>
      <c r="AG354" s="8"/>
    </row>
    <row r="355" ht="13.5" customHeight="1">
      <c r="A355" s="8"/>
      <c r="B355" s="278"/>
      <c r="C355" s="278"/>
      <c r="D355" s="8"/>
      <c r="E355" s="278"/>
      <c r="F355" s="278"/>
      <c r="G355" s="278"/>
      <c r="H355" s="278"/>
      <c r="I355" s="278"/>
      <c r="J355" s="27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278"/>
      <c r="AE355" s="8"/>
      <c r="AF355" s="8"/>
      <c r="AG355" s="8"/>
    </row>
    <row r="356" ht="13.5" customHeight="1">
      <c r="A356" s="8"/>
      <c r="B356" s="278"/>
      <c r="C356" s="278"/>
      <c r="D356" s="8"/>
      <c r="E356" s="278"/>
      <c r="F356" s="278"/>
      <c r="G356" s="278"/>
      <c r="H356" s="278"/>
      <c r="I356" s="278"/>
      <c r="J356" s="27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278"/>
      <c r="AE356" s="8"/>
      <c r="AF356" s="8"/>
      <c r="AG356" s="8"/>
    </row>
    <row r="357" ht="13.5" customHeight="1">
      <c r="A357" s="8"/>
      <c r="B357" s="278"/>
      <c r="C357" s="278"/>
      <c r="D357" s="8"/>
      <c r="E357" s="278"/>
      <c r="F357" s="278"/>
      <c r="G357" s="278"/>
      <c r="H357" s="278"/>
      <c r="I357" s="278"/>
      <c r="J357" s="27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278"/>
      <c r="AE357" s="8"/>
      <c r="AF357" s="8"/>
      <c r="AG357" s="8"/>
    </row>
    <row r="358" ht="13.5" customHeight="1">
      <c r="A358" s="8"/>
      <c r="B358" s="278"/>
      <c r="C358" s="278"/>
      <c r="D358" s="8"/>
      <c r="E358" s="278"/>
      <c r="F358" s="278"/>
      <c r="G358" s="278"/>
      <c r="H358" s="278"/>
      <c r="I358" s="278"/>
      <c r="J358" s="27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278"/>
      <c r="AE358" s="8"/>
      <c r="AF358" s="8"/>
      <c r="AG358" s="8"/>
    </row>
    <row r="359" ht="13.5" customHeight="1">
      <c r="A359" s="8"/>
      <c r="B359" s="278"/>
      <c r="C359" s="278"/>
      <c r="D359" s="8"/>
      <c r="E359" s="278"/>
      <c r="F359" s="278"/>
      <c r="G359" s="278"/>
      <c r="H359" s="278"/>
      <c r="I359" s="278"/>
      <c r="J359" s="27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278"/>
      <c r="AE359" s="8"/>
      <c r="AF359" s="8"/>
      <c r="AG359" s="8"/>
    </row>
    <row r="360" ht="13.5" customHeight="1">
      <c r="A360" s="8"/>
      <c r="B360" s="278"/>
      <c r="C360" s="278"/>
      <c r="D360" s="8"/>
      <c r="E360" s="278"/>
      <c r="F360" s="278"/>
      <c r="G360" s="278"/>
      <c r="H360" s="278"/>
      <c r="I360" s="278"/>
      <c r="J360" s="27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278"/>
      <c r="AE360" s="8"/>
      <c r="AF360" s="8"/>
      <c r="AG360" s="8"/>
    </row>
    <row r="361" ht="13.5" customHeight="1">
      <c r="A361" s="8"/>
      <c r="B361" s="278"/>
      <c r="C361" s="278"/>
      <c r="D361" s="8"/>
      <c r="E361" s="278"/>
      <c r="F361" s="278"/>
      <c r="G361" s="278"/>
      <c r="H361" s="278"/>
      <c r="I361" s="278"/>
      <c r="J361" s="27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278"/>
      <c r="AE361" s="8"/>
      <c r="AF361" s="8"/>
      <c r="AG361" s="8"/>
    </row>
    <row r="362" ht="13.5" customHeight="1">
      <c r="A362" s="8"/>
      <c r="B362" s="278"/>
      <c r="C362" s="278"/>
      <c r="D362" s="8"/>
      <c r="E362" s="278"/>
      <c r="F362" s="278"/>
      <c r="G362" s="278"/>
      <c r="H362" s="278"/>
      <c r="I362" s="278"/>
      <c r="J362" s="27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278"/>
      <c r="AE362" s="8"/>
      <c r="AF362" s="8"/>
      <c r="AG362" s="8"/>
    </row>
    <row r="363" ht="13.5" customHeight="1">
      <c r="A363" s="8"/>
      <c r="B363" s="278"/>
      <c r="C363" s="278"/>
      <c r="D363" s="8"/>
      <c r="E363" s="278"/>
      <c r="F363" s="278"/>
      <c r="G363" s="278"/>
      <c r="H363" s="278"/>
      <c r="I363" s="278"/>
      <c r="J363" s="27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278"/>
      <c r="AE363" s="8"/>
      <c r="AF363" s="8"/>
      <c r="AG363" s="8"/>
    </row>
    <row r="364" ht="13.5" customHeight="1">
      <c r="A364" s="8"/>
      <c r="B364" s="278"/>
      <c r="C364" s="278"/>
      <c r="D364" s="8"/>
      <c r="E364" s="278"/>
      <c r="F364" s="278"/>
      <c r="G364" s="278"/>
      <c r="H364" s="278"/>
      <c r="I364" s="278"/>
      <c r="J364" s="27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278"/>
      <c r="AE364" s="8"/>
      <c r="AF364" s="8"/>
      <c r="AG364" s="8"/>
    </row>
    <row r="365" ht="13.5" customHeight="1">
      <c r="A365" s="8"/>
      <c r="B365" s="278"/>
      <c r="C365" s="278"/>
      <c r="D365" s="8"/>
      <c r="E365" s="278"/>
      <c r="F365" s="278"/>
      <c r="G365" s="278"/>
      <c r="H365" s="278"/>
      <c r="I365" s="278"/>
      <c r="J365" s="27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278"/>
      <c r="AE365" s="8"/>
      <c r="AF365" s="8"/>
      <c r="AG365" s="8"/>
    </row>
    <row r="366" ht="13.5" customHeight="1">
      <c r="A366" s="8"/>
      <c r="B366" s="278"/>
      <c r="C366" s="278"/>
      <c r="D366" s="8"/>
      <c r="E366" s="278"/>
      <c r="F366" s="278"/>
      <c r="G366" s="278"/>
      <c r="H366" s="278"/>
      <c r="I366" s="278"/>
      <c r="J366" s="27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278"/>
      <c r="AE366" s="8"/>
      <c r="AF366" s="8"/>
      <c r="AG366" s="8"/>
    </row>
    <row r="367" ht="13.5" customHeight="1">
      <c r="A367" s="8"/>
      <c r="B367" s="278"/>
      <c r="C367" s="278"/>
      <c r="D367" s="8"/>
      <c r="E367" s="278"/>
      <c r="F367" s="278"/>
      <c r="G367" s="278"/>
      <c r="H367" s="278"/>
      <c r="I367" s="278"/>
      <c r="J367" s="27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278"/>
      <c r="AE367" s="8"/>
      <c r="AF367" s="8"/>
      <c r="AG367" s="8"/>
    </row>
    <row r="368" ht="13.5" customHeight="1">
      <c r="A368" s="8"/>
      <c r="B368" s="278"/>
      <c r="C368" s="278"/>
      <c r="D368" s="8"/>
      <c r="E368" s="278"/>
      <c r="F368" s="278"/>
      <c r="G368" s="278"/>
      <c r="H368" s="278"/>
      <c r="I368" s="278"/>
      <c r="J368" s="27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278"/>
      <c r="AE368" s="8"/>
      <c r="AF368" s="8"/>
      <c r="AG368" s="8"/>
    </row>
    <row r="369" ht="13.5" customHeight="1">
      <c r="A369" s="8"/>
      <c r="B369" s="278"/>
      <c r="C369" s="278"/>
      <c r="D369" s="8"/>
      <c r="E369" s="278"/>
      <c r="F369" s="278"/>
      <c r="G369" s="278"/>
      <c r="H369" s="278"/>
      <c r="I369" s="278"/>
      <c r="J369" s="27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278"/>
      <c r="AE369" s="8"/>
      <c r="AF369" s="8"/>
      <c r="AG369" s="8"/>
    </row>
    <row r="370" ht="13.5" customHeight="1">
      <c r="A370" s="8"/>
      <c r="B370" s="278"/>
      <c r="C370" s="278"/>
      <c r="D370" s="8"/>
      <c r="E370" s="278"/>
      <c r="F370" s="278"/>
      <c r="G370" s="278"/>
      <c r="H370" s="278"/>
      <c r="I370" s="278"/>
      <c r="J370" s="27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278"/>
      <c r="AE370" s="8"/>
      <c r="AF370" s="8"/>
      <c r="AG370" s="8"/>
    </row>
    <row r="371" ht="13.5" customHeight="1">
      <c r="A371" s="8"/>
      <c r="B371" s="278"/>
      <c r="C371" s="278"/>
      <c r="D371" s="8"/>
      <c r="E371" s="278"/>
      <c r="F371" s="278"/>
      <c r="G371" s="278"/>
      <c r="H371" s="278"/>
      <c r="I371" s="278"/>
      <c r="J371" s="27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278"/>
      <c r="AE371" s="8"/>
      <c r="AF371" s="8"/>
      <c r="AG371" s="8"/>
    </row>
    <row r="372" ht="13.5" customHeight="1">
      <c r="A372" s="8"/>
      <c r="B372" s="278"/>
      <c r="C372" s="278"/>
      <c r="D372" s="8"/>
      <c r="E372" s="278"/>
      <c r="F372" s="278"/>
      <c r="G372" s="278"/>
      <c r="H372" s="278"/>
      <c r="I372" s="278"/>
      <c r="J372" s="27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278"/>
      <c r="AE372" s="8"/>
      <c r="AF372" s="8"/>
      <c r="AG372" s="8"/>
    </row>
    <row r="373" ht="13.5" customHeight="1">
      <c r="A373" s="8"/>
      <c r="B373" s="278"/>
      <c r="C373" s="278"/>
      <c r="D373" s="8"/>
      <c r="E373" s="278"/>
      <c r="F373" s="278"/>
      <c r="G373" s="278"/>
      <c r="H373" s="278"/>
      <c r="I373" s="278"/>
      <c r="J373" s="27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278"/>
      <c r="AE373" s="8"/>
      <c r="AF373" s="8"/>
      <c r="AG373" s="8"/>
    </row>
    <row r="374" ht="13.5" customHeight="1">
      <c r="A374" s="8"/>
      <c r="B374" s="278"/>
      <c r="C374" s="278"/>
      <c r="D374" s="8"/>
      <c r="E374" s="278"/>
      <c r="F374" s="278"/>
      <c r="G374" s="278"/>
      <c r="H374" s="278"/>
      <c r="I374" s="278"/>
      <c r="J374" s="27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278"/>
      <c r="AE374" s="8"/>
      <c r="AF374" s="8"/>
      <c r="AG374" s="8"/>
    </row>
    <row r="375" ht="13.5" customHeight="1">
      <c r="A375" s="8"/>
      <c r="B375" s="278"/>
      <c r="C375" s="278"/>
      <c r="D375" s="8"/>
      <c r="E375" s="278"/>
      <c r="F375" s="278"/>
      <c r="G375" s="278"/>
      <c r="H375" s="278"/>
      <c r="I375" s="278"/>
      <c r="J375" s="27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278"/>
      <c r="AE375" s="8"/>
      <c r="AF375" s="8"/>
      <c r="AG375" s="8"/>
    </row>
    <row r="376" ht="13.5" customHeight="1">
      <c r="A376" s="8"/>
      <c r="B376" s="278"/>
      <c r="C376" s="278"/>
      <c r="D376" s="8"/>
      <c r="E376" s="278"/>
      <c r="F376" s="278"/>
      <c r="G376" s="278"/>
      <c r="H376" s="278"/>
      <c r="I376" s="278"/>
      <c r="J376" s="27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278"/>
      <c r="AE376" s="8"/>
      <c r="AF376" s="8"/>
      <c r="AG376" s="8"/>
    </row>
    <row r="377" ht="13.5" customHeight="1">
      <c r="A377" s="8"/>
      <c r="B377" s="278"/>
      <c r="C377" s="278"/>
      <c r="D377" s="8"/>
      <c r="E377" s="278"/>
      <c r="F377" s="278"/>
      <c r="G377" s="278"/>
      <c r="H377" s="278"/>
      <c r="I377" s="278"/>
      <c r="J377" s="27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278"/>
      <c r="AE377" s="8"/>
      <c r="AF377" s="8"/>
      <c r="AG377" s="8"/>
    </row>
    <row r="378" ht="13.5" customHeight="1">
      <c r="A378" s="8"/>
      <c r="B378" s="278"/>
      <c r="C378" s="278"/>
      <c r="D378" s="8"/>
      <c r="E378" s="278"/>
      <c r="F378" s="278"/>
      <c r="G378" s="278"/>
      <c r="H378" s="278"/>
      <c r="I378" s="278"/>
      <c r="J378" s="27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278"/>
      <c r="AE378" s="8"/>
      <c r="AF378" s="8"/>
      <c r="AG378" s="8"/>
    </row>
    <row r="379" ht="13.5" customHeight="1">
      <c r="A379" s="8"/>
      <c r="B379" s="278"/>
      <c r="C379" s="278"/>
      <c r="D379" s="8"/>
      <c r="E379" s="278"/>
      <c r="F379" s="278"/>
      <c r="G379" s="278"/>
      <c r="H379" s="278"/>
      <c r="I379" s="278"/>
      <c r="J379" s="27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278"/>
      <c r="AE379" s="8"/>
      <c r="AF379" s="8"/>
      <c r="AG379" s="8"/>
    </row>
    <row r="380" ht="13.5" customHeight="1">
      <c r="A380" s="8"/>
      <c r="B380" s="278"/>
      <c r="C380" s="278"/>
      <c r="D380" s="8"/>
      <c r="E380" s="278"/>
      <c r="F380" s="278"/>
      <c r="G380" s="278"/>
      <c r="H380" s="278"/>
      <c r="I380" s="278"/>
      <c r="J380" s="27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278"/>
      <c r="AE380" s="8"/>
      <c r="AF380" s="8"/>
      <c r="AG380" s="8"/>
    </row>
    <row r="381" ht="13.5" customHeight="1">
      <c r="A381" s="8"/>
      <c r="B381" s="278"/>
      <c r="C381" s="278"/>
      <c r="D381" s="8"/>
      <c r="E381" s="278"/>
      <c r="F381" s="278"/>
      <c r="G381" s="278"/>
      <c r="H381" s="278"/>
      <c r="I381" s="278"/>
      <c r="J381" s="27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278"/>
      <c r="AE381" s="8"/>
      <c r="AF381" s="8"/>
      <c r="AG381" s="8"/>
    </row>
    <row r="382" ht="13.5" customHeight="1">
      <c r="A382" s="8"/>
      <c r="B382" s="278"/>
      <c r="C382" s="278"/>
      <c r="D382" s="8"/>
      <c r="E382" s="278"/>
      <c r="F382" s="278"/>
      <c r="G382" s="278"/>
      <c r="H382" s="278"/>
      <c r="I382" s="278"/>
      <c r="J382" s="27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278"/>
      <c r="AE382" s="8"/>
      <c r="AF382" s="8"/>
      <c r="AG382" s="8"/>
    </row>
    <row r="383" ht="13.5" customHeight="1">
      <c r="A383" s="8"/>
      <c r="B383" s="278"/>
      <c r="C383" s="278"/>
      <c r="D383" s="8"/>
      <c r="E383" s="278"/>
      <c r="F383" s="278"/>
      <c r="G383" s="278"/>
      <c r="H383" s="278"/>
      <c r="I383" s="278"/>
      <c r="J383" s="27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278"/>
      <c r="AE383" s="8"/>
      <c r="AF383" s="8"/>
      <c r="AG383" s="8"/>
    </row>
    <row r="384" ht="13.5" customHeight="1">
      <c r="A384" s="8"/>
      <c r="B384" s="278"/>
      <c r="C384" s="278"/>
      <c r="D384" s="8"/>
      <c r="E384" s="278"/>
      <c r="F384" s="278"/>
      <c r="G384" s="278"/>
      <c r="H384" s="278"/>
      <c r="I384" s="278"/>
      <c r="J384" s="27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278"/>
      <c r="AE384" s="8"/>
      <c r="AF384" s="8"/>
      <c r="AG384" s="8"/>
    </row>
    <row r="385" ht="13.5" customHeight="1">
      <c r="A385" s="8"/>
      <c r="B385" s="278"/>
      <c r="C385" s="278"/>
      <c r="D385" s="8"/>
      <c r="E385" s="278"/>
      <c r="F385" s="278"/>
      <c r="G385" s="278"/>
      <c r="H385" s="278"/>
      <c r="I385" s="278"/>
      <c r="J385" s="27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278"/>
      <c r="AE385" s="8"/>
      <c r="AF385" s="8"/>
      <c r="AG385" s="8"/>
    </row>
    <row r="386" ht="13.5" customHeight="1">
      <c r="A386" s="8"/>
      <c r="B386" s="278"/>
      <c r="C386" s="278"/>
      <c r="D386" s="8"/>
      <c r="E386" s="278"/>
      <c r="F386" s="278"/>
      <c r="G386" s="278"/>
      <c r="H386" s="278"/>
      <c r="I386" s="278"/>
      <c r="J386" s="27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278"/>
      <c r="AE386" s="8"/>
      <c r="AF386" s="8"/>
      <c r="AG386" s="8"/>
    </row>
    <row r="387" ht="13.5" customHeight="1">
      <c r="A387" s="8"/>
      <c r="B387" s="278"/>
      <c r="C387" s="278"/>
      <c r="D387" s="8"/>
      <c r="E387" s="278"/>
      <c r="F387" s="278"/>
      <c r="G387" s="278"/>
      <c r="H387" s="278"/>
      <c r="I387" s="278"/>
      <c r="J387" s="27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278"/>
      <c r="AE387" s="8"/>
      <c r="AF387" s="8"/>
      <c r="AG387" s="8"/>
    </row>
    <row r="388" ht="13.5" customHeight="1">
      <c r="A388" s="8"/>
      <c r="B388" s="278"/>
      <c r="C388" s="278"/>
      <c r="D388" s="8"/>
      <c r="E388" s="278"/>
      <c r="F388" s="278"/>
      <c r="G388" s="278"/>
      <c r="H388" s="278"/>
      <c r="I388" s="278"/>
      <c r="J388" s="27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278"/>
      <c r="AE388" s="8"/>
      <c r="AF388" s="8"/>
      <c r="AG388" s="8"/>
    </row>
    <row r="389" ht="13.5" customHeight="1">
      <c r="A389" s="8"/>
      <c r="B389" s="278"/>
      <c r="C389" s="278"/>
      <c r="D389" s="8"/>
      <c r="E389" s="278"/>
      <c r="F389" s="278"/>
      <c r="G389" s="278"/>
      <c r="H389" s="278"/>
      <c r="I389" s="278"/>
      <c r="J389" s="27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278"/>
      <c r="AE389" s="8"/>
      <c r="AF389" s="8"/>
      <c r="AG389" s="8"/>
    </row>
    <row r="390" ht="13.5" customHeight="1">
      <c r="A390" s="8"/>
      <c r="B390" s="278"/>
      <c r="C390" s="278"/>
      <c r="D390" s="8"/>
      <c r="E390" s="278"/>
      <c r="F390" s="278"/>
      <c r="G390" s="278"/>
      <c r="H390" s="278"/>
      <c r="I390" s="278"/>
      <c r="J390" s="27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278"/>
      <c r="AE390" s="8"/>
      <c r="AF390" s="8"/>
      <c r="AG390" s="8"/>
    </row>
    <row r="391" ht="13.5" customHeight="1">
      <c r="A391" s="8"/>
      <c r="B391" s="278"/>
      <c r="C391" s="278"/>
      <c r="D391" s="8"/>
      <c r="E391" s="278"/>
      <c r="F391" s="278"/>
      <c r="G391" s="278"/>
      <c r="H391" s="278"/>
      <c r="I391" s="278"/>
      <c r="J391" s="27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278"/>
      <c r="AE391" s="8"/>
      <c r="AF391" s="8"/>
      <c r="AG391" s="8"/>
    </row>
    <row r="392" ht="13.5" customHeight="1">
      <c r="A392" s="8"/>
      <c r="B392" s="278"/>
      <c r="C392" s="278"/>
      <c r="D392" s="8"/>
      <c r="E392" s="278"/>
      <c r="F392" s="278"/>
      <c r="G392" s="278"/>
      <c r="H392" s="278"/>
      <c r="I392" s="278"/>
      <c r="J392" s="27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278"/>
      <c r="AE392" s="8"/>
      <c r="AF392" s="8"/>
      <c r="AG392" s="8"/>
    </row>
    <row r="393" ht="13.5" customHeight="1">
      <c r="A393" s="8"/>
      <c r="B393" s="278"/>
      <c r="C393" s="278"/>
      <c r="D393" s="8"/>
      <c r="E393" s="278"/>
      <c r="F393" s="278"/>
      <c r="G393" s="278"/>
      <c r="H393" s="278"/>
      <c r="I393" s="278"/>
      <c r="J393" s="27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278"/>
      <c r="AE393" s="8"/>
      <c r="AF393" s="8"/>
      <c r="AG393" s="8"/>
    </row>
    <row r="394" ht="13.5" customHeight="1">
      <c r="A394" s="8"/>
      <c r="B394" s="278"/>
      <c r="C394" s="278"/>
      <c r="D394" s="8"/>
      <c r="E394" s="278"/>
      <c r="F394" s="278"/>
      <c r="G394" s="278"/>
      <c r="H394" s="278"/>
      <c r="I394" s="278"/>
      <c r="J394" s="27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278"/>
      <c r="AE394" s="8"/>
      <c r="AF394" s="8"/>
      <c r="AG394" s="8"/>
    </row>
    <row r="395" ht="13.5" customHeight="1">
      <c r="A395" s="8"/>
      <c r="B395" s="278"/>
      <c r="C395" s="278"/>
      <c r="D395" s="8"/>
      <c r="E395" s="278"/>
      <c r="F395" s="278"/>
      <c r="G395" s="278"/>
      <c r="H395" s="278"/>
      <c r="I395" s="278"/>
      <c r="J395" s="27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278"/>
      <c r="AE395" s="8"/>
      <c r="AF395" s="8"/>
      <c r="AG395" s="8"/>
    </row>
    <row r="396" ht="13.5" customHeight="1">
      <c r="A396" s="8"/>
      <c r="B396" s="278"/>
      <c r="C396" s="278"/>
      <c r="D396" s="8"/>
      <c r="E396" s="278"/>
      <c r="F396" s="278"/>
      <c r="G396" s="278"/>
      <c r="H396" s="278"/>
      <c r="I396" s="278"/>
      <c r="J396" s="27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278"/>
      <c r="AE396" s="8"/>
      <c r="AF396" s="8"/>
      <c r="AG396" s="8"/>
    </row>
    <row r="397" ht="13.5" customHeight="1">
      <c r="A397" s="8"/>
      <c r="B397" s="278"/>
      <c r="C397" s="278"/>
      <c r="D397" s="8"/>
      <c r="E397" s="278"/>
      <c r="F397" s="278"/>
      <c r="G397" s="278"/>
      <c r="H397" s="278"/>
      <c r="I397" s="278"/>
      <c r="J397" s="27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278"/>
      <c r="AE397" s="8"/>
      <c r="AF397" s="8"/>
      <c r="AG397" s="8"/>
    </row>
    <row r="398" ht="13.5" customHeight="1">
      <c r="A398" s="8"/>
      <c r="B398" s="278"/>
      <c r="C398" s="278"/>
      <c r="D398" s="8"/>
      <c r="E398" s="278"/>
      <c r="F398" s="278"/>
      <c r="G398" s="278"/>
      <c r="H398" s="278"/>
      <c r="I398" s="278"/>
      <c r="J398" s="27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278"/>
      <c r="AE398" s="8"/>
      <c r="AF398" s="8"/>
      <c r="AG398" s="8"/>
    </row>
    <row r="399" ht="13.5" customHeight="1">
      <c r="A399" s="8"/>
      <c r="B399" s="278"/>
      <c r="C399" s="278"/>
      <c r="D399" s="8"/>
      <c r="E399" s="278"/>
      <c r="F399" s="278"/>
      <c r="G399" s="278"/>
      <c r="H399" s="278"/>
      <c r="I399" s="278"/>
      <c r="J399" s="27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278"/>
      <c r="AE399" s="8"/>
      <c r="AF399" s="8"/>
      <c r="AG399" s="8"/>
    </row>
    <row r="400" ht="13.5" customHeight="1">
      <c r="A400" s="8"/>
      <c r="B400" s="278"/>
      <c r="C400" s="278"/>
      <c r="D400" s="8"/>
      <c r="E400" s="278"/>
      <c r="F400" s="278"/>
      <c r="G400" s="278"/>
      <c r="H400" s="278"/>
      <c r="I400" s="278"/>
      <c r="J400" s="27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278"/>
      <c r="AE400" s="8"/>
      <c r="AF400" s="8"/>
      <c r="AG400" s="8"/>
    </row>
    <row r="401" ht="13.5" customHeight="1">
      <c r="A401" s="8"/>
      <c r="B401" s="278"/>
      <c r="C401" s="278"/>
      <c r="D401" s="8"/>
      <c r="E401" s="278"/>
      <c r="F401" s="278"/>
      <c r="G401" s="278"/>
      <c r="H401" s="278"/>
      <c r="I401" s="278"/>
      <c r="J401" s="27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278"/>
      <c r="AE401" s="8"/>
      <c r="AF401" s="8"/>
      <c r="AG401" s="8"/>
    </row>
    <row r="402" ht="13.5" customHeight="1">
      <c r="A402" s="8"/>
      <c r="B402" s="278"/>
      <c r="C402" s="278"/>
      <c r="D402" s="8"/>
      <c r="E402" s="278"/>
      <c r="F402" s="278"/>
      <c r="G402" s="278"/>
      <c r="H402" s="278"/>
      <c r="I402" s="278"/>
      <c r="J402" s="27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278"/>
      <c r="AE402" s="8"/>
      <c r="AF402" s="8"/>
      <c r="AG402" s="8"/>
    </row>
    <row r="403" ht="13.5" customHeight="1">
      <c r="A403" s="8"/>
      <c r="B403" s="278"/>
      <c r="C403" s="278"/>
      <c r="D403" s="8"/>
      <c r="E403" s="278"/>
      <c r="F403" s="278"/>
      <c r="G403" s="278"/>
      <c r="H403" s="278"/>
      <c r="I403" s="278"/>
      <c r="J403" s="27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278"/>
      <c r="AE403" s="8"/>
      <c r="AF403" s="8"/>
      <c r="AG403" s="8"/>
    </row>
    <row r="404" ht="13.5" customHeight="1">
      <c r="A404" s="8"/>
      <c r="B404" s="278"/>
      <c r="C404" s="278"/>
      <c r="D404" s="8"/>
      <c r="E404" s="278"/>
      <c r="F404" s="278"/>
      <c r="G404" s="278"/>
      <c r="H404" s="278"/>
      <c r="I404" s="278"/>
      <c r="J404" s="27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278"/>
      <c r="AE404" s="8"/>
      <c r="AF404" s="8"/>
      <c r="AG404" s="8"/>
    </row>
    <row r="405" ht="13.5" customHeight="1">
      <c r="A405" s="8"/>
      <c r="B405" s="278"/>
      <c r="C405" s="278"/>
      <c r="D405" s="8"/>
      <c r="E405" s="278"/>
      <c r="F405" s="278"/>
      <c r="G405" s="278"/>
      <c r="H405" s="278"/>
      <c r="I405" s="278"/>
      <c r="J405" s="27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278"/>
      <c r="AE405" s="8"/>
      <c r="AF405" s="8"/>
      <c r="AG405" s="8"/>
    </row>
    <row r="406" ht="13.5" customHeight="1">
      <c r="A406" s="8"/>
      <c r="B406" s="278"/>
      <c r="C406" s="278"/>
      <c r="D406" s="8"/>
      <c r="E406" s="278"/>
      <c r="F406" s="278"/>
      <c r="G406" s="278"/>
      <c r="H406" s="278"/>
      <c r="I406" s="278"/>
      <c r="J406" s="27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278"/>
      <c r="AE406" s="8"/>
      <c r="AF406" s="8"/>
      <c r="AG406" s="8"/>
    </row>
    <row r="407" ht="13.5" customHeight="1">
      <c r="A407" s="8"/>
      <c r="B407" s="278"/>
      <c r="C407" s="278"/>
      <c r="D407" s="8"/>
      <c r="E407" s="278"/>
      <c r="F407" s="278"/>
      <c r="G407" s="278"/>
      <c r="H407" s="278"/>
      <c r="I407" s="278"/>
      <c r="J407" s="27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278"/>
      <c r="AE407" s="8"/>
      <c r="AF407" s="8"/>
      <c r="AG407" s="8"/>
    </row>
    <row r="408" ht="13.5" customHeight="1">
      <c r="A408" s="8"/>
      <c r="B408" s="278"/>
      <c r="C408" s="278"/>
      <c r="D408" s="8"/>
      <c r="E408" s="278"/>
      <c r="F408" s="278"/>
      <c r="G408" s="278"/>
      <c r="H408" s="278"/>
      <c r="I408" s="278"/>
      <c r="J408" s="27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278"/>
      <c r="AE408" s="8"/>
      <c r="AF408" s="8"/>
      <c r="AG408" s="8"/>
    </row>
    <row r="409" ht="13.5" customHeight="1">
      <c r="A409" s="8"/>
      <c r="B409" s="278"/>
      <c r="C409" s="278"/>
      <c r="D409" s="8"/>
      <c r="E409" s="278"/>
      <c r="F409" s="278"/>
      <c r="G409" s="278"/>
      <c r="H409" s="278"/>
      <c r="I409" s="278"/>
      <c r="J409" s="27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278"/>
      <c r="AE409" s="8"/>
      <c r="AF409" s="8"/>
      <c r="AG409" s="8"/>
    </row>
    <row r="410" ht="13.5" customHeight="1">
      <c r="A410" s="8"/>
      <c r="B410" s="278"/>
      <c r="C410" s="278"/>
      <c r="D410" s="8"/>
      <c r="E410" s="278"/>
      <c r="F410" s="278"/>
      <c r="G410" s="278"/>
      <c r="H410" s="278"/>
      <c r="I410" s="278"/>
      <c r="J410" s="27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278"/>
      <c r="AE410" s="8"/>
      <c r="AF410" s="8"/>
      <c r="AG410" s="8"/>
    </row>
    <row r="411" ht="13.5" customHeight="1">
      <c r="A411" s="8"/>
      <c r="B411" s="278"/>
      <c r="C411" s="278"/>
      <c r="D411" s="8"/>
      <c r="E411" s="278"/>
      <c r="F411" s="278"/>
      <c r="G411" s="278"/>
      <c r="H411" s="278"/>
      <c r="I411" s="278"/>
      <c r="J411" s="27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278"/>
      <c r="AE411" s="8"/>
      <c r="AF411" s="8"/>
      <c r="AG411" s="8"/>
    </row>
    <row r="412" ht="13.5" customHeight="1">
      <c r="A412" s="8"/>
      <c r="B412" s="278"/>
      <c r="C412" s="278"/>
      <c r="D412" s="8"/>
      <c r="E412" s="278"/>
      <c r="F412" s="278"/>
      <c r="G412" s="278"/>
      <c r="H412" s="278"/>
      <c r="I412" s="278"/>
      <c r="J412" s="27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278"/>
      <c r="AE412" s="8"/>
      <c r="AF412" s="8"/>
      <c r="AG412" s="8"/>
    </row>
    <row r="413" ht="13.5" customHeight="1">
      <c r="A413" s="8"/>
      <c r="B413" s="278"/>
      <c r="C413" s="278"/>
      <c r="D413" s="8"/>
      <c r="E413" s="278"/>
      <c r="F413" s="278"/>
      <c r="G413" s="278"/>
      <c r="H413" s="278"/>
      <c r="I413" s="278"/>
      <c r="J413" s="27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278"/>
      <c r="AE413" s="8"/>
      <c r="AF413" s="8"/>
      <c r="AG413" s="8"/>
    </row>
    <row r="414" ht="13.5" customHeight="1">
      <c r="A414" s="8"/>
      <c r="B414" s="278"/>
      <c r="C414" s="278"/>
      <c r="D414" s="8"/>
      <c r="E414" s="278"/>
      <c r="F414" s="278"/>
      <c r="G414" s="278"/>
      <c r="H414" s="278"/>
      <c r="I414" s="278"/>
      <c r="J414" s="27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278"/>
      <c r="AE414" s="8"/>
      <c r="AF414" s="8"/>
      <c r="AG414" s="8"/>
    </row>
    <row r="415" ht="13.5" customHeight="1">
      <c r="A415" s="8"/>
      <c r="B415" s="278"/>
      <c r="C415" s="278"/>
      <c r="D415" s="8"/>
      <c r="E415" s="278"/>
      <c r="F415" s="278"/>
      <c r="G415" s="278"/>
      <c r="H415" s="278"/>
      <c r="I415" s="278"/>
      <c r="J415" s="27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278"/>
      <c r="AE415" s="8"/>
      <c r="AF415" s="8"/>
      <c r="AG415" s="8"/>
    </row>
    <row r="416" ht="13.5" customHeight="1">
      <c r="A416" s="8"/>
      <c r="B416" s="278"/>
      <c r="C416" s="278"/>
      <c r="D416" s="8"/>
      <c r="E416" s="278"/>
      <c r="F416" s="278"/>
      <c r="G416" s="278"/>
      <c r="H416" s="278"/>
      <c r="I416" s="278"/>
      <c r="J416" s="27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278"/>
      <c r="AE416" s="8"/>
      <c r="AF416" s="8"/>
      <c r="AG416" s="8"/>
    </row>
    <row r="417" ht="13.5" customHeight="1">
      <c r="A417" s="8"/>
      <c r="B417" s="278"/>
      <c r="C417" s="278"/>
      <c r="D417" s="8"/>
      <c r="E417" s="278"/>
      <c r="F417" s="278"/>
      <c r="G417" s="278"/>
      <c r="H417" s="278"/>
      <c r="I417" s="278"/>
      <c r="J417" s="27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278"/>
      <c r="AE417" s="8"/>
      <c r="AF417" s="8"/>
      <c r="AG417" s="8"/>
    </row>
    <row r="418" ht="13.5" customHeight="1">
      <c r="A418" s="8"/>
      <c r="B418" s="278"/>
      <c r="C418" s="278"/>
      <c r="D418" s="8"/>
      <c r="E418" s="278"/>
      <c r="F418" s="278"/>
      <c r="G418" s="278"/>
      <c r="H418" s="278"/>
      <c r="I418" s="278"/>
      <c r="J418" s="27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278"/>
      <c r="AE418" s="8"/>
      <c r="AF418" s="8"/>
      <c r="AG418" s="8"/>
    </row>
    <row r="419" ht="13.5" customHeight="1">
      <c r="A419" s="8"/>
      <c r="B419" s="278"/>
      <c r="C419" s="278"/>
      <c r="D419" s="8"/>
      <c r="E419" s="278"/>
      <c r="F419" s="278"/>
      <c r="G419" s="278"/>
      <c r="H419" s="278"/>
      <c r="I419" s="278"/>
      <c r="J419" s="27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278"/>
      <c r="AE419" s="8"/>
      <c r="AF419" s="8"/>
      <c r="AG419" s="8"/>
    </row>
    <row r="420" ht="13.5" customHeight="1">
      <c r="A420" s="8"/>
      <c r="B420" s="278"/>
      <c r="C420" s="278"/>
      <c r="D420" s="8"/>
      <c r="E420" s="278"/>
      <c r="F420" s="278"/>
      <c r="G420" s="278"/>
      <c r="H420" s="278"/>
      <c r="I420" s="278"/>
      <c r="J420" s="27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278"/>
      <c r="AE420" s="8"/>
      <c r="AF420" s="8"/>
      <c r="AG420" s="8"/>
    </row>
    <row r="421" ht="13.5" customHeight="1">
      <c r="A421" s="8"/>
      <c r="B421" s="278"/>
      <c r="C421" s="278"/>
      <c r="D421" s="8"/>
      <c r="E421" s="278"/>
      <c r="F421" s="278"/>
      <c r="G421" s="278"/>
      <c r="H421" s="278"/>
      <c r="I421" s="278"/>
      <c r="J421" s="27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278"/>
      <c r="AE421" s="8"/>
      <c r="AF421" s="8"/>
      <c r="AG421" s="8"/>
    </row>
    <row r="422" ht="13.5" customHeight="1">
      <c r="A422" s="8"/>
      <c r="B422" s="278"/>
      <c r="C422" s="278"/>
      <c r="D422" s="8"/>
      <c r="E422" s="278"/>
      <c r="F422" s="278"/>
      <c r="G422" s="278"/>
      <c r="H422" s="278"/>
      <c r="I422" s="278"/>
      <c r="J422" s="27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278"/>
      <c r="AE422" s="8"/>
      <c r="AF422" s="8"/>
      <c r="AG422" s="8"/>
    </row>
    <row r="423" ht="13.5" customHeight="1">
      <c r="A423" s="8"/>
      <c r="B423" s="278"/>
      <c r="C423" s="278"/>
      <c r="D423" s="8"/>
      <c r="E423" s="278"/>
      <c r="F423" s="278"/>
      <c r="G423" s="278"/>
      <c r="H423" s="278"/>
      <c r="I423" s="278"/>
      <c r="J423" s="27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278"/>
      <c r="AE423" s="8"/>
      <c r="AF423" s="8"/>
      <c r="AG423" s="8"/>
    </row>
    <row r="424" ht="13.5" customHeight="1">
      <c r="A424" s="8"/>
      <c r="B424" s="278"/>
      <c r="C424" s="278"/>
      <c r="D424" s="8"/>
      <c r="E424" s="278"/>
      <c r="F424" s="278"/>
      <c r="G424" s="278"/>
      <c r="H424" s="278"/>
      <c r="I424" s="278"/>
      <c r="J424" s="27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278"/>
      <c r="AE424" s="8"/>
      <c r="AF424" s="8"/>
      <c r="AG424" s="8"/>
    </row>
    <row r="425" ht="13.5" customHeight="1">
      <c r="A425" s="8"/>
      <c r="B425" s="278"/>
      <c r="C425" s="278"/>
      <c r="D425" s="8"/>
      <c r="E425" s="278"/>
      <c r="F425" s="278"/>
      <c r="G425" s="278"/>
      <c r="H425" s="278"/>
      <c r="I425" s="278"/>
      <c r="J425" s="27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278"/>
      <c r="AE425" s="8"/>
      <c r="AF425" s="8"/>
      <c r="AG425" s="8"/>
    </row>
    <row r="426" ht="13.5" customHeight="1">
      <c r="A426" s="8"/>
      <c r="B426" s="278"/>
      <c r="C426" s="278"/>
      <c r="D426" s="8"/>
      <c r="E426" s="278"/>
      <c r="F426" s="278"/>
      <c r="G426" s="278"/>
      <c r="H426" s="278"/>
      <c r="I426" s="278"/>
      <c r="J426" s="27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278"/>
      <c r="AE426" s="8"/>
      <c r="AF426" s="8"/>
      <c r="AG426" s="8"/>
    </row>
    <row r="427" ht="13.5" customHeight="1">
      <c r="A427" s="8"/>
      <c r="B427" s="278"/>
      <c r="C427" s="278"/>
      <c r="D427" s="8"/>
      <c r="E427" s="278"/>
      <c r="F427" s="278"/>
      <c r="G427" s="278"/>
      <c r="H427" s="278"/>
      <c r="I427" s="278"/>
      <c r="J427" s="27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278"/>
      <c r="AE427" s="8"/>
      <c r="AF427" s="8"/>
      <c r="AG427" s="8"/>
    </row>
    <row r="428" ht="13.5" customHeight="1">
      <c r="A428" s="8"/>
      <c r="B428" s="278"/>
      <c r="C428" s="278"/>
      <c r="D428" s="8"/>
      <c r="E428" s="278"/>
      <c r="F428" s="278"/>
      <c r="G428" s="278"/>
      <c r="H428" s="278"/>
      <c r="I428" s="278"/>
      <c r="J428" s="27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278"/>
      <c r="AE428" s="8"/>
      <c r="AF428" s="8"/>
      <c r="AG428" s="8"/>
    </row>
    <row r="429" ht="13.5" customHeight="1">
      <c r="A429" s="8"/>
      <c r="B429" s="278"/>
      <c r="C429" s="278"/>
      <c r="D429" s="8"/>
      <c r="E429" s="278"/>
      <c r="F429" s="278"/>
      <c r="G429" s="278"/>
      <c r="H429" s="278"/>
      <c r="I429" s="278"/>
      <c r="J429" s="27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278"/>
      <c r="AE429" s="8"/>
      <c r="AF429" s="8"/>
      <c r="AG429" s="8"/>
    </row>
    <row r="430" ht="13.5" customHeight="1">
      <c r="A430" s="8"/>
      <c r="B430" s="278"/>
      <c r="C430" s="278"/>
      <c r="D430" s="8"/>
      <c r="E430" s="278"/>
      <c r="F430" s="278"/>
      <c r="G430" s="278"/>
      <c r="H430" s="278"/>
      <c r="I430" s="278"/>
      <c r="J430" s="27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278"/>
      <c r="AE430" s="8"/>
      <c r="AF430" s="8"/>
      <c r="AG430" s="8"/>
    </row>
    <row r="431" ht="13.5" customHeight="1">
      <c r="A431" s="8"/>
      <c r="B431" s="278"/>
      <c r="C431" s="278"/>
      <c r="D431" s="8"/>
      <c r="E431" s="278"/>
      <c r="F431" s="278"/>
      <c r="G431" s="278"/>
      <c r="H431" s="278"/>
      <c r="I431" s="278"/>
      <c r="J431" s="27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278"/>
      <c r="AE431" s="8"/>
      <c r="AF431" s="8"/>
      <c r="AG431" s="8"/>
    </row>
    <row r="432" ht="13.5" customHeight="1">
      <c r="A432" s="8"/>
      <c r="B432" s="278"/>
      <c r="C432" s="278"/>
      <c r="D432" s="8"/>
      <c r="E432" s="278"/>
      <c r="F432" s="278"/>
      <c r="G432" s="278"/>
      <c r="H432" s="278"/>
      <c r="I432" s="278"/>
      <c r="J432" s="27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278"/>
      <c r="AE432" s="8"/>
      <c r="AF432" s="8"/>
      <c r="AG432" s="8"/>
    </row>
    <row r="433" ht="13.5" customHeight="1">
      <c r="A433" s="8"/>
      <c r="B433" s="278"/>
      <c r="C433" s="278"/>
      <c r="D433" s="8"/>
      <c r="E433" s="278"/>
      <c r="F433" s="278"/>
      <c r="G433" s="278"/>
      <c r="H433" s="278"/>
      <c r="I433" s="278"/>
      <c r="J433" s="27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278"/>
      <c r="AE433" s="8"/>
      <c r="AF433" s="8"/>
      <c r="AG433" s="8"/>
    </row>
    <row r="434" ht="13.5" customHeight="1">
      <c r="A434" s="8"/>
      <c r="B434" s="278"/>
      <c r="C434" s="278"/>
      <c r="D434" s="8"/>
      <c r="E434" s="278"/>
      <c r="F434" s="278"/>
      <c r="G434" s="278"/>
      <c r="H434" s="278"/>
      <c r="I434" s="278"/>
      <c r="J434" s="27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278"/>
      <c r="AE434" s="8"/>
      <c r="AF434" s="8"/>
      <c r="AG434" s="8"/>
    </row>
    <row r="435" ht="13.5" customHeight="1">
      <c r="A435" s="8"/>
      <c r="B435" s="278"/>
      <c r="C435" s="278"/>
      <c r="D435" s="8"/>
      <c r="E435" s="278"/>
      <c r="F435" s="278"/>
      <c r="G435" s="278"/>
      <c r="H435" s="278"/>
      <c r="I435" s="278"/>
      <c r="J435" s="27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278"/>
      <c r="AE435" s="8"/>
      <c r="AF435" s="8"/>
      <c r="AG435" s="8"/>
    </row>
    <row r="436" ht="13.5" customHeight="1">
      <c r="A436" s="8"/>
      <c r="B436" s="278"/>
      <c r="C436" s="278"/>
      <c r="D436" s="8"/>
      <c r="E436" s="278"/>
      <c r="F436" s="278"/>
      <c r="G436" s="278"/>
      <c r="H436" s="278"/>
      <c r="I436" s="278"/>
      <c r="J436" s="27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278"/>
      <c r="AE436" s="8"/>
      <c r="AF436" s="8"/>
      <c r="AG436" s="8"/>
    </row>
    <row r="437" ht="13.5" customHeight="1">
      <c r="A437" s="8"/>
      <c r="B437" s="278"/>
      <c r="C437" s="278"/>
      <c r="D437" s="8"/>
      <c r="E437" s="278"/>
      <c r="F437" s="278"/>
      <c r="G437" s="278"/>
      <c r="H437" s="278"/>
      <c r="I437" s="278"/>
      <c r="J437" s="27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278"/>
      <c r="AE437" s="8"/>
      <c r="AF437" s="8"/>
      <c r="AG437" s="8"/>
    </row>
    <row r="438" ht="13.5" customHeight="1">
      <c r="A438" s="8"/>
      <c r="B438" s="278"/>
      <c r="C438" s="278"/>
      <c r="D438" s="8"/>
      <c r="E438" s="278"/>
      <c r="F438" s="278"/>
      <c r="G438" s="278"/>
      <c r="H438" s="278"/>
      <c r="I438" s="278"/>
      <c r="J438" s="27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278"/>
      <c r="AE438" s="8"/>
      <c r="AF438" s="8"/>
      <c r="AG438" s="8"/>
    </row>
    <row r="439" ht="13.5" customHeight="1">
      <c r="A439" s="8"/>
      <c r="B439" s="278"/>
      <c r="C439" s="278"/>
      <c r="D439" s="8"/>
      <c r="E439" s="278"/>
      <c r="F439" s="278"/>
      <c r="G439" s="278"/>
      <c r="H439" s="278"/>
      <c r="I439" s="278"/>
      <c r="J439" s="27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278"/>
      <c r="AE439" s="8"/>
      <c r="AF439" s="8"/>
      <c r="AG439" s="8"/>
    </row>
    <row r="440" ht="13.5" customHeight="1">
      <c r="A440" s="8"/>
      <c r="B440" s="278"/>
      <c r="C440" s="278"/>
      <c r="D440" s="8"/>
      <c r="E440" s="278"/>
      <c r="F440" s="278"/>
      <c r="G440" s="278"/>
      <c r="H440" s="278"/>
      <c r="I440" s="278"/>
      <c r="J440" s="27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278"/>
      <c r="AE440" s="8"/>
      <c r="AF440" s="8"/>
      <c r="AG440" s="8"/>
    </row>
    <row r="441" ht="13.5" customHeight="1">
      <c r="A441" s="8"/>
      <c r="B441" s="278"/>
      <c r="C441" s="278"/>
      <c r="D441" s="8"/>
      <c r="E441" s="278"/>
      <c r="F441" s="278"/>
      <c r="G441" s="278"/>
      <c r="H441" s="278"/>
      <c r="I441" s="278"/>
      <c r="J441" s="27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278"/>
      <c r="AE441" s="8"/>
      <c r="AF441" s="8"/>
      <c r="AG441" s="8"/>
    </row>
    <row r="442" ht="13.5" customHeight="1">
      <c r="A442" s="8"/>
      <c r="B442" s="278"/>
      <c r="C442" s="278"/>
      <c r="D442" s="8"/>
      <c r="E442" s="278"/>
      <c r="F442" s="278"/>
      <c r="G442" s="278"/>
      <c r="H442" s="278"/>
      <c r="I442" s="278"/>
      <c r="J442" s="27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278"/>
      <c r="AE442" s="8"/>
      <c r="AF442" s="8"/>
      <c r="AG442" s="8"/>
    </row>
    <row r="443" ht="13.5" customHeight="1">
      <c r="A443" s="8"/>
      <c r="B443" s="278"/>
      <c r="C443" s="278"/>
      <c r="D443" s="8"/>
      <c r="E443" s="278"/>
      <c r="F443" s="278"/>
      <c r="G443" s="278"/>
      <c r="H443" s="278"/>
      <c r="I443" s="278"/>
      <c r="J443" s="27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278"/>
      <c r="AE443" s="8"/>
      <c r="AF443" s="8"/>
      <c r="AG443" s="8"/>
    </row>
    <row r="444" ht="13.5" customHeight="1">
      <c r="A444" s="8"/>
      <c r="B444" s="278"/>
      <c r="C444" s="278"/>
      <c r="D444" s="8"/>
      <c r="E444" s="278"/>
      <c r="F444" s="278"/>
      <c r="G444" s="278"/>
      <c r="H444" s="278"/>
      <c r="I444" s="278"/>
      <c r="J444" s="27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278"/>
      <c r="AE444" s="8"/>
      <c r="AF444" s="8"/>
      <c r="AG444" s="8"/>
    </row>
    <row r="445" ht="13.5" customHeight="1">
      <c r="A445" s="8"/>
      <c r="B445" s="278"/>
      <c r="C445" s="278"/>
      <c r="D445" s="8"/>
      <c r="E445" s="278"/>
      <c r="F445" s="278"/>
      <c r="G445" s="278"/>
      <c r="H445" s="278"/>
      <c r="I445" s="278"/>
      <c r="J445" s="27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278"/>
      <c r="AE445" s="8"/>
      <c r="AF445" s="8"/>
      <c r="AG445" s="8"/>
    </row>
    <row r="446" ht="13.5" customHeight="1">
      <c r="A446" s="8"/>
      <c r="B446" s="278"/>
      <c r="C446" s="278"/>
      <c r="D446" s="8"/>
      <c r="E446" s="278"/>
      <c r="F446" s="278"/>
      <c r="G446" s="278"/>
      <c r="H446" s="278"/>
      <c r="I446" s="278"/>
      <c r="J446" s="27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278"/>
      <c r="AE446" s="8"/>
      <c r="AF446" s="8"/>
      <c r="AG446" s="8"/>
    </row>
    <row r="447" ht="13.5" customHeight="1">
      <c r="A447" s="8"/>
      <c r="B447" s="278"/>
      <c r="C447" s="278"/>
      <c r="D447" s="8"/>
      <c r="E447" s="278"/>
      <c r="F447" s="278"/>
      <c r="G447" s="278"/>
      <c r="H447" s="278"/>
      <c r="I447" s="278"/>
      <c r="J447" s="27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278"/>
      <c r="AE447" s="8"/>
      <c r="AF447" s="8"/>
      <c r="AG447" s="8"/>
    </row>
    <row r="448" ht="13.5" customHeight="1">
      <c r="A448" s="8"/>
      <c r="B448" s="278"/>
      <c r="C448" s="278"/>
      <c r="D448" s="8"/>
      <c r="E448" s="278"/>
      <c r="F448" s="278"/>
      <c r="G448" s="278"/>
      <c r="H448" s="278"/>
      <c r="I448" s="278"/>
      <c r="J448" s="27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278"/>
      <c r="AE448" s="8"/>
      <c r="AF448" s="8"/>
      <c r="AG448" s="8"/>
    </row>
    <row r="449" ht="13.5" customHeight="1">
      <c r="A449" s="8"/>
      <c r="B449" s="278"/>
      <c r="C449" s="278"/>
      <c r="D449" s="8"/>
      <c r="E449" s="278"/>
      <c r="F449" s="278"/>
      <c r="G449" s="278"/>
      <c r="H449" s="278"/>
      <c r="I449" s="278"/>
      <c r="J449" s="27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278"/>
      <c r="AE449" s="8"/>
      <c r="AF449" s="8"/>
      <c r="AG449" s="8"/>
    </row>
    <row r="450" ht="13.5" customHeight="1">
      <c r="A450" s="8"/>
      <c r="B450" s="278"/>
      <c r="C450" s="278"/>
      <c r="D450" s="8"/>
      <c r="E450" s="278"/>
      <c r="F450" s="278"/>
      <c r="G450" s="278"/>
      <c r="H450" s="278"/>
      <c r="I450" s="278"/>
      <c r="J450" s="27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278"/>
      <c r="AE450" s="8"/>
      <c r="AF450" s="8"/>
      <c r="AG450" s="8"/>
    </row>
    <row r="451" ht="13.5" customHeight="1">
      <c r="A451" s="8"/>
      <c r="B451" s="278"/>
      <c r="C451" s="278"/>
      <c r="D451" s="8"/>
      <c r="E451" s="278"/>
      <c r="F451" s="278"/>
      <c r="G451" s="278"/>
      <c r="H451" s="278"/>
      <c r="I451" s="278"/>
      <c r="J451" s="27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278"/>
      <c r="AE451" s="8"/>
      <c r="AF451" s="8"/>
      <c r="AG451" s="8"/>
    </row>
    <row r="452" ht="13.5" customHeight="1">
      <c r="A452" s="8"/>
      <c r="B452" s="278"/>
      <c r="C452" s="278"/>
      <c r="D452" s="8"/>
      <c r="E452" s="278"/>
      <c r="F452" s="278"/>
      <c r="G452" s="278"/>
      <c r="H452" s="278"/>
      <c r="I452" s="278"/>
      <c r="J452" s="27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278"/>
      <c r="AE452" s="8"/>
      <c r="AF452" s="8"/>
      <c r="AG452" s="8"/>
    </row>
    <row r="453" ht="13.5" customHeight="1">
      <c r="A453" s="8"/>
      <c r="B453" s="278"/>
      <c r="C453" s="278"/>
      <c r="D453" s="8"/>
      <c r="E453" s="278"/>
      <c r="F453" s="278"/>
      <c r="G453" s="278"/>
      <c r="H453" s="278"/>
      <c r="I453" s="278"/>
      <c r="J453" s="27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278"/>
      <c r="AE453" s="8"/>
      <c r="AF453" s="8"/>
      <c r="AG453" s="8"/>
    </row>
    <row r="454" ht="13.5" customHeight="1">
      <c r="A454" s="8"/>
      <c r="B454" s="278"/>
      <c r="C454" s="278"/>
      <c r="D454" s="8"/>
      <c r="E454" s="278"/>
      <c r="F454" s="278"/>
      <c r="G454" s="278"/>
      <c r="H454" s="278"/>
      <c r="I454" s="278"/>
      <c r="J454" s="27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278"/>
      <c r="AE454" s="8"/>
      <c r="AF454" s="8"/>
      <c r="AG454" s="8"/>
    </row>
    <row r="455" ht="13.5" customHeight="1">
      <c r="A455" s="8"/>
      <c r="B455" s="278"/>
      <c r="C455" s="278"/>
      <c r="D455" s="8"/>
      <c r="E455" s="278"/>
      <c r="F455" s="278"/>
      <c r="G455" s="278"/>
      <c r="H455" s="278"/>
      <c r="I455" s="278"/>
      <c r="J455" s="27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278"/>
      <c r="AE455" s="8"/>
      <c r="AF455" s="8"/>
      <c r="AG455" s="8"/>
    </row>
    <row r="456" ht="13.5" customHeight="1">
      <c r="A456" s="8"/>
      <c r="B456" s="278"/>
      <c r="C456" s="278"/>
      <c r="D456" s="8"/>
      <c r="E456" s="278"/>
      <c r="F456" s="278"/>
      <c r="G456" s="278"/>
      <c r="H456" s="278"/>
      <c r="I456" s="278"/>
      <c r="J456" s="27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278"/>
      <c r="AE456" s="8"/>
      <c r="AF456" s="8"/>
      <c r="AG456" s="8"/>
    </row>
    <row r="457" ht="13.5" customHeight="1">
      <c r="A457" s="8"/>
      <c r="B457" s="278"/>
      <c r="C457" s="278"/>
      <c r="D457" s="8"/>
      <c r="E457" s="278"/>
      <c r="F457" s="278"/>
      <c r="G457" s="278"/>
      <c r="H457" s="278"/>
      <c r="I457" s="278"/>
      <c r="J457" s="27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278"/>
      <c r="AE457" s="8"/>
      <c r="AF457" s="8"/>
      <c r="AG457" s="8"/>
    </row>
    <row r="458" ht="13.5" customHeight="1">
      <c r="A458" s="8"/>
      <c r="B458" s="278"/>
      <c r="C458" s="278"/>
      <c r="D458" s="8"/>
      <c r="E458" s="278"/>
      <c r="F458" s="278"/>
      <c r="G458" s="278"/>
      <c r="H458" s="278"/>
      <c r="I458" s="278"/>
      <c r="J458" s="27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278"/>
      <c r="AE458" s="8"/>
      <c r="AF458" s="8"/>
      <c r="AG458" s="8"/>
    </row>
    <row r="459" ht="13.5" customHeight="1">
      <c r="A459" s="8"/>
      <c r="B459" s="278"/>
      <c r="C459" s="278"/>
      <c r="D459" s="8"/>
      <c r="E459" s="278"/>
      <c r="F459" s="278"/>
      <c r="G459" s="278"/>
      <c r="H459" s="278"/>
      <c r="I459" s="278"/>
      <c r="J459" s="27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278"/>
      <c r="AE459" s="8"/>
      <c r="AF459" s="8"/>
      <c r="AG459" s="8"/>
    </row>
    <row r="460" ht="13.5" customHeight="1">
      <c r="A460" s="8"/>
      <c r="B460" s="278"/>
      <c r="C460" s="278"/>
      <c r="D460" s="8"/>
      <c r="E460" s="278"/>
      <c r="F460" s="278"/>
      <c r="G460" s="278"/>
      <c r="H460" s="278"/>
      <c r="I460" s="278"/>
      <c r="J460" s="27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278"/>
      <c r="AE460" s="8"/>
      <c r="AF460" s="8"/>
      <c r="AG460" s="8"/>
    </row>
    <row r="461" ht="13.5" customHeight="1">
      <c r="A461" s="8"/>
      <c r="B461" s="278"/>
      <c r="C461" s="278"/>
      <c r="D461" s="8"/>
      <c r="E461" s="278"/>
      <c r="F461" s="278"/>
      <c r="G461" s="278"/>
      <c r="H461" s="278"/>
      <c r="I461" s="278"/>
      <c r="J461" s="27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278"/>
      <c r="AE461" s="8"/>
      <c r="AF461" s="8"/>
      <c r="AG461" s="8"/>
    </row>
    <row r="462" ht="13.5" customHeight="1">
      <c r="A462" s="8"/>
      <c r="B462" s="278"/>
      <c r="C462" s="278"/>
      <c r="D462" s="8"/>
      <c r="E462" s="278"/>
      <c r="F462" s="278"/>
      <c r="G462" s="278"/>
      <c r="H462" s="278"/>
      <c r="I462" s="278"/>
      <c r="J462" s="27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278"/>
      <c r="AE462" s="8"/>
      <c r="AF462" s="8"/>
      <c r="AG462" s="8"/>
    </row>
    <row r="463" ht="13.5" customHeight="1">
      <c r="A463" s="8"/>
      <c r="B463" s="278"/>
      <c r="C463" s="278"/>
      <c r="D463" s="8"/>
      <c r="E463" s="278"/>
      <c r="F463" s="278"/>
      <c r="G463" s="278"/>
      <c r="H463" s="278"/>
      <c r="I463" s="278"/>
      <c r="J463" s="27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278"/>
      <c r="AE463" s="8"/>
      <c r="AF463" s="8"/>
      <c r="AG463" s="8"/>
    </row>
    <row r="464" ht="13.5" customHeight="1">
      <c r="A464" s="8"/>
      <c r="B464" s="278"/>
      <c r="C464" s="278"/>
      <c r="D464" s="8"/>
      <c r="E464" s="278"/>
      <c r="F464" s="278"/>
      <c r="G464" s="278"/>
      <c r="H464" s="278"/>
      <c r="I464" s="278"/>
      <c r="J464" s="27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278"/>
      <c r="AE464" s="8"/>
      <c r="AF464" s="8"/>
      <c r="AG464" s="8"/>
    </row>
    <row r="465" ht="13.5" customHeight="1">
      <c r="A465" s="8"/>
      <c r="B465" s="278"/>
      <c r="C465" s="278"/>
      <c r="D465" s="8"/>
      <c r="E465" s="278"/>
      <c r="F465" s="278"/>
      <c r="G465" s="278"/>
      <c r="H465" s="278"/>
      <c r="I465" s="278"/>
      <c r="J465" s="27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278"/>
      <c r="AE465" s="8"/>
      <c r="AF465" s="8"/>
      <c r="AG465" s="8"/>
    </row>
    <row r="466" ht="13.5" customHeight="1">
      <c r="A466" s="8"/>
      <c r="B466" s="278"/>
      <c r="C466" s="278"/>
      <c r="D466" s="8"/>
      <c r="E466" s="278"/>
      <c r="F466" s="278"/>
      <c r="G466" s="278"/>
      <c r="H466" s="278"/>
      <c r="I466" s="278"/>
      <c r="J466" s="27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278"/>
      <c r="AE466" s="8"/>
      <c r="AF466" s="8"/>
      <c r="AG466" s="8"/>
    </row>
    <row r="467" ht="13.5" customHeight="1">
      <c r="A467" s="8"/>
      <c r="B467" s="278"/>
      <c r="C467" s="278"/>
      <c r="D467" s="8"/>
      <c r="E467" s="278"/>
      <c r="F467" s="278"/>
      <c r="G467" s="278"/>
      <c r="H467" s="278"/>
      <c r="I467" s="278"/>
      <c r="J467" s="27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278"/>
      <c r="AE467" s="8"/>
      <c r="AF467" s="8"/>
      <c r="AG467" s="8"/>
    </row>
    <row r="468" ht="13.5" customHeight="1">
      <c r="A468" s="8"/>
      <c r="B468" s="278"/>
      <c r="C468" s="278"/>
      <c r="D468" s="8"/>
      <c r="E468" s="278"/>
      <c r="F468" s="278"/>
      <c r="G468" s="278"/>
      <c r="H468" s="278"/>
      <c r="I468" s="278"/>
      <c r="J468" s="27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278"/>
      <c r="AE468" s="8"/>
      <c r="AF468" s="8"/>
      <c r="AG468" s="8"/>
    </row>
    <row r="469" ht="13.5" customHeight="1">
      <c r="A469" s="8"/>
      <c r="B469" s="278"/>
      <c r="C469" s="278"/>
      <c r="D469" s="8"/>
      <c r="E469" s="278"/>
      <c r="F469" s="278"/>
      <c r="G469" s="278"/>
      <c r="H469" s="278"/>
      <c r="I469" s="278"/>
      <c r="J469" s="27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278"/>
      <c r="AE469" s="8"/>
      <c r="AF469" s="8"/>
      <c r="AG469" s="8"/>
    </row>
    <row r="470" ht="13.5" customHeight="1">
      <c r="A470" s="8"/>
      <c r="B470" s="278"/>
      <c r="C470" s="278"/>
      <c r="D470" s="8"/>
      <c r="E470" s="278"/>
      <c r="F470" s="278"/>
      <c r="G470" s="278"/>
      <c r="H470" s="278"/>
      <c r="I470" s="278"/>
      <c r="J470" s="27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278"/>
      <c r="AE470" s="8"/>
      <c r="AF470" s="8"/>
      <c r="AG470" s="8"/>
    </row>
    <row r="471" ht="13.5" customHeight="1">
      <c r="A471" s="8"/>
      <c r="B471" s="278"/>
      <c r="C471" s="278"/>
      <c r="D471" s="8"/>
      <c r="E471" s="278"/>
      <c r="F471" s="278"/>
      <c r="G471" s="278"/>
      <c r="H471" s="278"/>
      <c r="I471" s="278"/>
      <c r="J471" s="27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278"/>
      <c r="AE471" s="8"/>
      <c r="AF471" s="8"/>
      <c r="AG471" s="8"/>
    </row>
    <row r="472" ht="13.5" customHeight="1">
      <c r="A472" s="8"/>
      <c r="B472" s="278"/>
      <c r="C472" s="278"/>
      <c r="D472" s="8"/>
      <c r="E472" s="278"/>
      <c r="F472" s="278"/>
      <c r="G472" s="278"/>
      <c r="H472" s="278"/>
      <c r="I472" s="278"/>
      <c r="J472" s="27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278"/>
      <c r="AE472" s="8"/>
      <c r="AF472" s="8"/>
      <c r="AG472" s="8"/>
    </row>
    <row r="473" ht="13.5" customHeight="1">
      <c r="A473" s="8"/>
      <c r="B473" s="278"/>
      <c r="C473" s="278"/>
      <c r="D473" s="8"/>
      <c r="E473" s="278"/>
      <c r="F473" s="278"/>
      <c r="G473" s="278"/>
      <c r="H473" s="278"/>
      <c r="I473" s="278"/>
      <c r="J473" s="27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278"/>
      <c r="AE473" s="8"/>
      <c r="AF473" s="8"/>
      <c r="AG473" s="8"/>
    </row>
    <row r="474" ht="13.5" customHeight="1">
      <c r="A474" s="8"/>
      <c r="B474" s="278"/>
      <c r="C474" s="278"/>
      <c r="D474" s="8"/>
      <c r="E474" s="278"/>
      <c r="F474" s="278"/>
      <c r="G474" s="278"/>
      <c r="H474" s="278"/>
      <c r="I474" s="278"/>
      <c r="J474" s="27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278"/>
      <c r="AE474" s="8"/>
      <c r="AF474" s="8"/>
      <c r="AG474" s="8"/>
    </row>
    <row r="475" ht="13.5" customHeight="1">
      <c r="A475" s="8"/>
      <c r="B475" s="278"/>
      <c r="C475" s="278"/>
      <c r="D475" s="8"/>
      <c r="E475" s="278"/>
      <c r="F475" s="278"/>
      <c r="G475" s="278"/>
      <c r="H475" s="278"/>
      <c r="I475" s="278"/>
      <c r="J475" s="27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278"/>
      <c r="AE475" s="8"/>
      <c r="AF475" s="8"/>
      <c r="AG475" s="8"/>
    </row>
    <row r="476" ht="13.5" customHeight="1">
      <c r="A476" s="8"/>
      <c r="B476" s="278"/>
      <c r="C476" s="278"/>
      <c r="D476" s="8"/>
      <c r="E476" s="278"/>
      <c r="F476" s="278"/>
      <c r="G476" s="278"/>
      <c r="H476" s="278"/>
      <c r="I476" s="278"/>
      <c r="J476" s="27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278"/>
      <c r="AE476" s="8"/>
      <c r="AF476" s="8"/>
      <c r="AG476" s="8"/>
    </row>
    <row r="477" ht="13.5" customHeight="1">
      <c r="A477" s="8"/>
      <c r="B477" s="278"/>
      <c r="C477" s="278"/>
      <c r="D477" s="8"/>
      <c r="E477" s="278"/>
      <c r="F477" s="278"/>
      <c r="G477" s="278"/>
      <c r="H477" s="278"/>
      <c r="I477" s="278"/>
      <c r="J477" s="27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278"/>
      <c r="AE477" s="8"/>
      <c r="AF477" s="8"/>
      <c r="AG477" s="8"/>
    </row>
    <row r="478" ht="13.5" customHeight="1">
      <c r="A478" s="8"/>
      <c r="B478" s="278"/>
      <c r="C478" s="278"/>
      <c r="D478" s="8"/>
      <c r="E478" s="278"/>
      <c r="F478" s="278"/>
      <c r="G478" s="278"/>
      <c r="H478" s="278"/>
      <c r="I478" s="278"/>
      <c r="J478" s="27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278"/>
      <c r="AE478" s="8"/>
      <c r="AF478" s="8"/>
      <c r="AG478" s="8"/>
    </row>
    <row r="479" ht="13.5" customHeight="1">
      <c r="A479" s="8"/>
      <c r="B479" s="278"/>
      <c r="C479" s="278"/>
      <c r="D479" s="8"/>
      <c r="E479" s="278"/>
      <c r="F479" s="278"/>
      <c r="G479" s="278"/>
      <c r="H479" s="278"/>
      <c r="I479" s="278"/>
      <c r="J479" s="27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278"/>
      <c r="AE479" s="8"/>
      <c r="AF479" s="8"/>
      <c r="AG479" s="8"/>
    </row>
    <row r="480" ht="13.5" customHeight="1">
      <c r="A480" s="8"/>
      <c r="B480" s="278"/>
      <c r="C480" s="278"/>
      <c r="D480" s="8"/>
      <c r="E480" s="278"/>
      <c r="F480" s="278"/>
      <c r="G480" s="278"/>
      <c r="H480" s="278"/>
      <c r="I480" s="278"/>
      <c r="J480" s="27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278"/>
      <c r="AE480" s="8"/>
      <c r="AF480" s="8"/>
      <c r="AG480" s="8"/>
    </row>
    <row r="481" ht="13.5" customHeight="1">
      <c r="A481" s="8"/>
      <c r="B481" s="278"/>
      <c r="C481" s="278"/>
      <c r="D481" s="8"/>
      <c r="E481" s="278"/>
      <c r="F481" s="278"/>
      <c r="G481" s="278"/>
      <c r="H481" s="278"/>
      <c r="I481" s="278"/>
      <c r="J481" s="27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278"/>
      <c r="AE481" s="8"/>
      <c r="AF481" s="8"/>
      <c r="AG481" s="8"/>
    </row>
    <row r="482" ht="13.5" customHeight="1">
      <c r="A482" s="8"/>
      <c r="B482" s="278"/>
      <c r="C482" s="278"/>
      <c r="D482" s="8"/>
      <c r="E482" s="278"/>
      <c r="F482" s="278"/>
      <c r="G482" s="278"/>
      <c r="H482" s="278"/>
      <c r="I482" s="278"/>
      <c r="J482" s="27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278"/>
      <c r="AE482" s="8"/>
      <c r="AF482" s="8"/>
      <c r="AG482" s="8"/>
    </row>
    <row r="483" ht="13.5" customHeight="1">
      <c r="A483" s="8"/>
      <c r="B483" s="278"/>
      <c r="C483" s="278"/>
      <c r="D483" s="8"/>
      <c r="E483" s="278"/>
      <c r="F483" s="278"/>
      <c r="G483" s="278"/>
      <c r="H483" s="278"/>
      <c r="I483" s="278"/>
      <c r="J483" s="27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278"/>
      <c r="AE483" s="8"/>
      <c r="AF483" s="8"/>
      <c r="AG483" s="8"/>
    </row>
    <row r="484" ht="13.5" customHeight="1">
      <c r="A484" s="8"/>
      <c r="B484" s="278"/>
      <c r="C484" s="278"/>
      <c r="D484" s="8"/>
      <c r="E484" s="278"/>
      <c r="F484" s="278"/>
      <c r="G484" s="278"/>
      <c r="H484" s="278"/>
      <c r="I484" s="278"/>
      <c r="J484" s="27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278"/>
      <c r="AE484" s="8"/>
      <c r="AF484" s="8"/>
      <c r="AG484" s="8"/>
    </row>
    <row r="485" ht="13.5" customHeight="1">
      <c r="A485" s="8"/>
      <c r="B485" s="278"/>
      <c r="C485" s="278"/>
      <c r="D485" s="8"/>
      <c r="E485" s="278"/>
      <c r="F485" s="278"/>
      <c r="G485" s="278"/>
      <c r="H485" s="278"/>
      <c r="I485" s="278"/>
      <c r="J485" s="27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278"/>
      <c r="AE485" s="8"/>
      <c r="AF485" s="8"/>
      <c r="AG485" s="8"/>
    </row>
    <row r="486" ht="13.5" customHeight="1">
      <c r="A486" s="8"/>
      <c r="B486" s="278"/>
      <c r="C486" s="278"/>
      <c r="D486" s="8"/>
      <c r="E486" s="278"/>
      <c r="F486" s="278"/>
      <c r="G486" s="278"/>
      <c r="H486" s="278"/>
      <c r="I486" s="278"/>
      <c r="J486" s="27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278"/>
      <c r="AE486" s="8"/>
      <c r="AF486" s="8"/>
      <c r="AG486" s="8"/>
    </row>
    <row r="487" ht="13.5" customHeight="1">
      <c r="A487" s="8"/>
      <c r="B487" s="278"/>
      <c r="C487" s="278"/>
      <c r="D487" s="8"/>
      <c r="E487" s="278"/>
      <c r="F487" s="278"/>
      <c r="G487" s="278"/>
      <c r="H487" s="278"/>
      <c r="I487" s="278"/>
      <c r="J487" s="27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278"/>
      <c r="AE487" s="8"/>
      <c r="AF487" s="8"/>
      <c r="AG487" s="8"/>
    </row>
    <row r="488" ht="13.5" customHeight="1">
      <c r="A488" s="8"/>
      <c r="B488" s="278"/>
      <c r="C488" s="278"/>
      <c r="D488" s="8"/>
      <c r="E488" s="278"/>
      <c r="F488" s="278"/>
      <c r="G488" s="278"/>
      <c r="H488" s="278"/>
      <c r="I488" s="278"/>
      <c r="J488" s="27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278"/>
      <c r="AE488" s="8"/>
      <c r="AF488" s="8"/>
      <c r="AG488" s="8"/>
    </row>
    <row r="489" ht="13.5" customHeight="1">
      <c r="A489" s="8"/>
      <c r="B489" s="278"/>
      <c r="C489" s="278"/>
      <c r="D489" s="8"/>
      <c r="E489" s="278"/>
      <c r="F489" s="278"/>
      <c r="G489" s="278"/>
      <c r="H489" s="278"/>
      <c r="I489" s="278"/>
      <c r="J489" s="27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278"/>
      <c r="AE489" s="8"/>
      <c r="AF489" s="8"/>
      <c r="AG489" s="8"/>
    </row>
    <row r="490" ht="13.5" customHeight="1">
      <c r="A490" s="8"/>
      <c r="B490" s="278"/>
      <c r="C490" s="278"/>
      <c r="D490" s="8"/>
      <c r="E490" s="278"/>
      <c r="F490" s="278"/>
      <c r="G490" s="278"/>
      <c r="H490" s="278"/>
      <c r="I490" s="278"/>
      <c r="J490" s="27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278"/>
      <c r="AE490" s="8"/>
      <c r="AF490" s="8"/>
      <c r="AG490" s="8"/>
    </row>
    <row r="491" ht="13.5" customHeight="1">
      <c r="A491" s="8"/>
      <c r="B491" s="278"/>
      <c r="C491" s="278"/>
      <c r="D491" s="8"/>
      <c r="E491" s="278"/>
      <c r="F491" s="278"/>
      <c r="G491" s="278"/>
      <c r="H491" s="278"/>
      <c r="I491" s="278"/>
      <c r="J491" s="27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278"/>
      <c r="AE491" s="8"/>
      <c r="AF491" s="8"/>
      <c r="AG491" s="8"/>
    </row>
    <row r="492" ht="13.5" customHeight="1">
      <c r="A492" s="8"/>
      <c r="B492" s="278"/>
      <c r="C492" s="278"/>
      <c r="D492" s="8"/>
      <c r="E492" s="278"/>
      <c r="F492" s="278"/>
      <c r="G492" s="278"/>
      <c r="H492" s="278"/>
      <c r="I492" s="278"/>
      <c r="J492" s="27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278"/>
      <c r="AE492" s="8"/>
      <c r="AF492" s="8"/>
      <c r="AG492" s="8"/>
    </row>
    <row r="493" ht="13.5" customHeight="1">
      <c r="A493" s="8"/>
      <c r="B493" s="278"/>
      <c r="C493" s="278"/>
      <c r="D493" s="8"/>
      <c r="E493" s="278"/>
      <c r="F493" s="278"/>
      <c r="G493" s="278"/>
      <c r="H493" s="278"/>
      <c r="I493" s="278"/>
      <c r="J493" s="27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278"/>
      <c r="AE493" s="8"/>
      <c r="AF493" s="8"/>
      <c r="AG493" s="8"/>
    </row>
    <row r="494" ht="13.5" customHeight="1">
      <c r="A494" s="8"/>
      <c r="B494" s="278"/>
      <c r="C494" s="278"/>
      <c r="D494" s="8"/>
      <c r="E494" s="278"/>
      <c r="F494" s="278"/>
      <c r="G494" s="278"/>
      <c r="H494" s="278"/>
      <c r="I494" s="278"/>
      <c r="J494" s="27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278"/>
      <c r="AE494" s="8"/>
      <c r="AF494" s="8"/>
      <c r="AG494" s="8"/>
    </row>
    <row r="495" ht="13.5" customHeight="1">
      <c r="A495" s="8"/>
      <c r="B495" s="278"/>
      <c r="C495" s="278"/>
      <c r="D495" s="8"/>
      <c r="E495" s="278"/>
      <c r="F495" s="278"/>
      <c r="G495" s="278"/>
      <c r="H495" s="278"/>
      <c r="I495" s="278"/>
      <c r="J495" s="27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278"/>
      <c r="AE495" s="8"/>
      <c r="AF495" s="8"/>
      <c r="AG495" s="8"/>
    </row>
    <row r="496" ht="13.5" customHeight="1">
      <c r="A496" s="8"/>
      <c r="B496" s="278"/>
      <c r="C496" s="278"/>
      <c r="D496" s="8"/>
      <c r="E496" s="278"/>
      <c r="F496" s="278"/>
      <c r="G496" s="278"/>
      <c r="H496" s="278"/>
      <c r="I496" s="278"/>
      <c r="J496" s="27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278"/>
      <c r="AE496" s="8"/>
      <c r="AF496" s="8"/>
      <c r="AG496" s="8"/>
    </row>
    <row r="497" ht="13.5" customHeight="1">
      <c r="A497" s="8"/>
      <c r="B497" s="278"/>
      <c r="C497" s="278"/>
      <c r="D497" s="8"/>
      <c r="E497" s="278"/>
      <c r="F497" s="278"/>
      <c r="G497" s="278"/>
      <c r="H497" s="278"/>
      <c r="I497" s="278"/>
      <c r="J497" s="27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278"/>
      <c r="AE497" s="8"/>
      <c r="AF497" s="8"/>
      <c r="AG497" s="8"/>
    </row>
    <row r="498" ht="13.5" customHeight="1">
      <c r="A498" s="8"/>
      <c r="B498" s="278"/>
      <c r="C498" s="278"/>
      <c r="D498" s="8"/>
      <c r="E498" s="278"/>
      <c r="F498" s="278"/>
      <c r="G498" s="278"/>
      <c r="H498" s="278"/>
      <c r="I498" s="278"/>
      <c r="J498" s="27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278"/>
      <c r="AE498" s="8"/>
      <c r="AF498" s="8"/>
      <c r="AG498" s="8"/>
    </row>
    <row r="499" ht="13.5" customHeight="1">
      <c r="A499" s="8"/>
      <c r="B499" s="278"/>
      <c r="C499" s="278"/>
      <c r="D499" s="8"/>
      <c r="E499" s="278"/>
      <c r="F499" s="278"/>
      <c r="G499" s="278"/>
      <c r="H499" s="278"/>
      <c r="I499" s="278"/>
      <c r="J499" s="27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278"/>
      <c r="AE499" s="8"/>
      <c r="AF499" s="8"/>
      <c r="AG499" s="8"/>
    </row>
    <row r="500" ht="13.5" customHeight="1">
      <c r="A500" s="8"/>
      <c r="B500" s="278"/>
      <c r="C500" s="278"/>
      <c r="D500" s="8"/>
      <c r="E500" s="278"/>
      <c r="F500" s="278"/>
      <c r="G500" s="278"/>
      <c r="H500" s="278"/>
      <c r="I500" s="278"/>
      <c r="J500" s="27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278"/>
      <c r="AE500" s="8"/>
      <c r="AF500" s="8"/>
      <c r="AG500" s="8"/>
    </row>
    <row r="501" ht="13.5" customHeight="1">
      <c r="A501" s="8"/>
      <c r="B501" s="278"/>
      <c r="C501" s="278"/>
      <c r="D501" s="8"/>
      <c r="E501" s="278"/>
      <c r="F501" s="278"/>
      <c r="G501" s="278"/>
      <c r="H501" s="278"/>
      <c r="I501" s="278"/>
      <c r="J501" s="27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278"/>
      <c r="AE501" s="8"/>
      <c r="AF501" s="8"/>
      <c r="AG501" s="8"/>
    </row>
    <row r="502" ht="13.5" customHeight="1">
      <c r="A502" s="8"/>
      <c r="B502" s="278"/>
      <c r="C502" s="278"/>
      <c r="D502" s="8"/>
      <c r="E502" s="278"/>
      <c r="F502" s="278"/>
      <c r="G502" s="278"/>
      <c r="H502" s="278"/>
      <c r="I502" s="278"/>
      <c r="J502" s="27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278"/>
      <c r="AE502" s="8"/>
      <c r="AF502" s="8"/>
      <c r="AG502" s="8"/>
    </row>
    <row r="503" ht="13.5" customHeight="1">
      <c r="A503" s="8"/>
      <c r="B503" s="278"/>
      <c r="C503" s="278"/>
      <c r="D503" s="8"/>
      <c r="E503" s="278"/>
      <c r="F503" s="278"/>
      <c r="G503" s="278"/>
      <c r="H503" s="278"/>
      <c r="I503" s="278"/>
      <c r="J503" s="27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278"/>
      <c r="AE503" s="8"/>
      <c r="AF503" s="8"/>
      <c r="AG503" s="8"/>
    </row>
    <row r="504" ht="13.5" customHeight="1">
      <c r="A504" s="8"/>
      <c r="B504" s="278"/>
      <c r="C504" s="278"/>
      <c r="D504" s="8"/>
      <c r="E504" s="278"/>
      <c r="F504" s="278"/>
      <c r="G504" s="278"/>
      <c r="H504" s="278"/>
      <c r="I504" s="278"/>
      <c r="J504" s="27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278"/>
      <c r="AE504" s="8"/>
      <c r="AF504" s="8"/>
      <c r="AG504" s="8"/>
    </row>
    <row r="505" ht="13.5" customHeight="1">
      <c r="A505" s="8"/>
      <c r="B505" s="278"/>
      <c r="C505" s="278"/>
      <c r="D505" s="8"/>
      <c r="E505" s="278"/>
      <c r="F505" s="278"/>
      <c r="G505" s="278"/>
      <c r="H505" s="278"/>
      <c r="I505" s="278"/>
      <c r="J505" s="27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278"/>
      <c r="AE505" s="8"/>
      <c r="AF505" s="8"/>
      <c r="AG505" s="8"/>
    </row>
    <row r="506" ht="13.5" customHeight="1">
      <c r="A506" s="8"/>
      <c r="B506" s="278"/>
      <c r="C506" s="278"/>
      <c r="D506" s="8"/>
      <c r="E506" s="278"/>
      <c r="F506" s="278"/>
      <c r="G506" s="278"/>
      <c r="H506" s="278"/>
      <c r="I506" s="278"/>
      <c r="J506" s="27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278"/>
      <c r="AE506" s="8"/>
      <c r="AF506" s="8"/>
      <c r="AG506" s="8"/>
    </row>
    <row r="507" ht="13.5" customHeight="1">
      <c r="A507" s="8"/>
      <c r="B507" s="278"/>
      <c r="C507" s="278"/>
      <c r="D507" s="8"/>
      <c r="E507" s="278"/>
      <c r="F507" s="278"/>
      <c r="G507" s="278"/>
      <c r="H507" s="278"/>
      <c r="I507" s="278"/>
      <c r="J507" s="27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278"/>
      <c r="AE507" s="8"/>
      <c r="AF507" s="8"/>
      <c r="AG507" s="8"/>
    </row>
    <row r="508" ht="13.5" customHeight="1">
      <c r="A508" s="8"/>
      <c r="B508" s="278"/>
      <c r="C508" s="278"/>
      <c r="D508" s="8"/>
      <c r="E508" s="278"/>
      <c r="F508" s="278"/>
      <c r="G508" s="278"/>
      <c r="H508" s="278"/>
      <c r="I508" s="278"/>
      <c r="J508" s="27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278"/>
      <c r="AE508" s="8"/>
      <c r="AF508" s="8"/>
      <c r="AG508" s="8"/>
    </row>
    <row r="509" ht="13.5" customHeight="1">
      <c r="A509" s="8"/>
      <c r="B509" s="278"/>
      <c r="C509" s="278"/>
      <c r="D509" s="8"/>
      <c r="E509" s="278"/>
      <c r="F509" s="278"/>
      <c r="G509" s="278"/>
      <c r="H509" s="278"/>
      <c r="I509" s="278"/>
      <c r="J509" s="27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278"/>
      <c r="AE509" s="8"/>
      <c r="AF509" s="8"/>
      <c r="AG509" s="8"/>
    </row>
    <row r="510" ht="13.5" customHeight="1">
      <c r="A510" s="8"/>
      <c r="B510" s="278"/>
      <c r="C510" s="278"/>
      <c r="D510" s="8"/>
      <c r="E510" s="278"/>
      <c r="F510" s="278"/>
      <c r="G510" s="278"/>
      <c r="H510" s="278"/>
      <c r="I510" s="278"/>
      <c r="J510" s="27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278"/>
      <c r="AE510" s="8"/>
      <c r="AF510" s="8"/>
      <c r="AG510" s="8"/>
    </row>
    <row r="511" ht="13.5" customHeight="1">
      <c r="A511" s="8"/>
      <c r="B511" s="278"/>
      <c r="C511" s="278"/>
      <c r="D511" s="8"/>
      <c r="E511" s="278"/>
      <c r="F511" s="278"/>
      <c r="G511" s="278"/>
      <c r="H511" s="278"/>
      <c r="I511" s="278"/>
      <c r="J511" s="27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278"/>
      <c r="AE511" s="8"/>
      <c r="AF511" s="8"/>
      <c r="AG511" s="8"/>
    </row>
    <row r="512" ht="13.5" customHeight="1">
      <c r="A512" s="8"/>
      <c r="B512" s="278"/>
      <c r="C512" s="278"/>
      <c r="D512" s="8"/>
      <c r="E512" s="278"/>
      <c r="F512" s="278"/>
      <c r="G512" s="278"/>
      <c r="H512" s="278"/>
      <c r="I512" s="278"/>
      <c r="J512" s="27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278"/>
      <c r="AE512" s="8"/>
      <c r="AF512" s="8"/>
      <c r="AG512" s="8"/>
    </row>
    <row r="513" ht="13.5" customHeight="1">
      <c r="A513" s="8"/>
      <c r="B513" s="278"/>
      <c r="C513" s="278"/>
      <c r="D513" s="8"/>
      <c r="E513" s="278"/>
      <c r="F513" s="278"/>
      <c r="G513" s="278"/>
      <c r="H513" s="278"/>
      <c r="I513" s="278"/>
      <c r="J513" s="27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278"/>
      <c r="AE513" s="8"/>
      <c r="AF513" s="8"/>
      <c r="AG513" s="8"/>
    </row>
    <row r="514" ht="13.5" customHeight="1">
      <c r="A514" s="8"/>
      <c r="B514" s="278"/>
      <c r="C514" s="278"/>
      <c r="D514" s="8"/>
      <c r="E514" s="278"/>
      <c r="F514" s="278"/>
      <c r="G514" s="278"/>
      <c r="H514" s="278"/>
      <c r="I514" s="278"/>
      <c r="J514" s="27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278"/>
      <c r="AE514" s="8"/>
      <c r="AF514" s="8"/>
      <c r="AG514" s="8"/>
    </row>
    <row r="515" ht="13.5" customHeight="1">
      <c r="A515" s="8"/>
      <c r="B515" s="278"/>
      <c r="C515" s="278"/>
      <c r="D515" s="8"/>
      <c r="E515" s="278"/>
      <c r="F515" s="278"/>
      <c r="G515" s="278"/>
      <c r="H515" s="278"/>
      <c r="I515" s="278"/>
      <c r="J515" s="27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278"/>
      <c r="AE515" s="8"/>
      <c r="AF515" s="8"/>
      <c r="AG515" s="8"/>
    </row>
    <row r="516" ht="13.5" customHeight="1">
      <c r="A516" s="8"/>
      <c r="B516" s="278"/>
      <c r="C516" s="278"/>
      <c r="D516" s="8"/>
      <c r="E516" s="278"/>
      <c r="F516" s="278"/>
      <c r="G516" s="278"/>
      <c r="H516" s="278"/>
      <c r="I516" s="278"/>
      <c r="J516" s="27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278"/>
      <c r="AE516" s="8"/>
      <c r="AF516" s="8"/>
      <c r="AG516" s="8"/>
    </row>
    <row r="517" ht="13.5" customHeight="1">
      <c r="A517" s="8"/>
      <c r="B517" s="278"/>
      <c r="C517" s="278"/>
      <c r="D517" s="8"/>
      <c r="E517" s="278"/>
      <c r="F517" s="278"/>
      <c r="G517" s="278"/>
      <c r="H517" s="278"/>
      <c r="I517" s="278"/>
      <c r="J517" s="27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278"/>
      <c r="AE517" s="8"/>
      <c r="AF517" s="8"/>
      <c r="AG517" s="8"/>
    </row>
    <row r="518" ht="13.5" customHeight="1">
      <c r="A518" s="8"/>
      <c r="B518" s="278"/>
      <c r="C518" s="278"/>
      <c r="D518" s="8"/>
      <c r="E518" s="278"/>
      <c r="F518" s="278"/>
      <c r="G518" s="278"/>
      <c r="H518" s="278"/>
      <c r="I518" s="278"/>
      <c r="J518" s="27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278"/>
      <c r="AE518" s="8"/>
      <c r="AF518" s="8"/>
      <c r="AG518" s="8"/>
    </row>
    <row r="519" ht="13.5" customHeight="1">
      <c r="A519" s="8"/>
      <c r="B519" s="278"/>
      <c r="C519" s="278"/>
      <c r="D519" s="8"/>
      <c r="E519" s="278"/>
      <c r="F519" s="278"/>
      <c r="G519" s="278"/>
      <c r="H519" s="278"/>
      <c r="I519" s="278"/>
      <c r="J519" s="27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278"/>
      <c r="AE519" s="8"/>
      <c r="AF519" s="8"/>
      <c r="AG519" s="8"/>
    </row>
    <row r="520" ht="13.5" customHeight="1">
      <c r="A520" s="8"/>
      <c r="B520" s="278"/>
      <c r="C520" s="278"/>
      <c r="D520" s="8"/>
      <c r="E520" s="278"/>
      <c r="F520" s="278"/>
      <c r="G520" s="278"/>
      <c r="H520" s="278"/>
      <c r="I520" s="278"/>
      <c r="J520" s="27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278"/>
      <c r="AE520" s="8"/>
      <c r="AF520" s="8"/>
      <c r="AG520" s="8"/>
    </row>
    <row r="521" ht="13.5" customHeight="1">
      <c r="A521" s="8"/>
      <c r="B521" s="278"/>
      <c r="C521" s="278"/>
      <c r="D521" s="8"/>
      <c r="E521" s="278"/>
      <c r="F521" s="278"/>
      <c r="G521" s="278"/>
      <c r="H521" s="278"/>
      <c r="I521" s="278"/>
      <c r="J521" s="27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278"/>
      <c r="AE521" s="8"/>
      <c r="AF521" s="8"/>
      <c r="AG521" s="8"/>
    </row>
    <row r="522" ht="13.5" customHeight="1">
      <c r="A522" s="8"/>
      <c r="B522" s="278"/>
      <c r="C522" s="278"/>
      <c r="D522" s="8"/>
      <c r="E522" s="278"/>
      <c r="F522" s="278"/>
      <c r="G522" s="278"/>
      <c r="H522" s="278"/>
      <c r="I522" s="278"/>
      <c r="J522" s="27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278"/>
      <c r="AE522" s="8"/>
      <c r="AF522" s="8"/>
      <c r="AG522" s="8"/>
    </row>
    <row r="523" ht="13.5" customHeight="1">
      <c r="A523" s="8"/>
      <c r="B523" s="278"/>
      <c r="C523" s="278"/>
      <c r="D523" s="8"/>
      <c r="E523" s="278"/>
      <c r="F523" s="278"/>
      <c r="G523" s="278"/>
      <c r="H523" s="278"/>
      <c r="I523" s="278"/>
      <c r="J523" s="27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278"/>
      <c r="AE523" s="8"/>
      <c r="AF523" s="8"/>
      <c r="AG523" s="8"/>
    </row>
    <row r="524" ht="13.5" customHeight="1">
      <c r="A524" s="8"/>
      <c r="B524" s="278"/>
      <c r="C524" s="278"/>
      <c r="D524" s="8"/>
      <c r="E524" s="278"/>
      <c r="F524" s="278"/>
      <c r="G524" s="278"/>
      <c r="H524" s="278"/>
      <c r="I524" s="278"/>
      <c r="J524" s="27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278"/>
      <c r="AE524" s="8"/>
      <c r="AF524" s="8"/>
      <c r="AG524" s="8"/>
    </row>
    <row r="525" ht="13.5" customHeight="1">
      <c r="A525" s="8"/>
      <c r="B525" s="278"/>
      <c r="C525" s="278"/>
      <c r="D525" s="8"/>
      <c r="E525" s="278"/>
      <c r="F525" s="278"/>
      <c r="G525" s="278"/>
      <c r="H525" s="278"/>
      <c r="I525" s="278"/>
      <c r="J525" s="27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278"/>
      <c r="AE525" s="8"/>
      <c r="AF525" s="8"/>
      <c r="AG525" s="8"/>
    </row>
    <row r="526" ht="13.5" customHeight="1">
      <c r="A526" s="8"/>
      <c r="B526" s="278"/>
      <c r="C526" s="278"/>
      <c r="D526" s="8"/>
      <c r="E526" s="278"/>
      <c r="F526" s="278"/>
      <c r="G526" s="278"/>
      <c r="H526" s="278"/>
      <c r="I526" s="278"/>
      <c r="J526" s="27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278"/>
      <c r="AE526" s="8"/>
      <c r="AF526" s="8"/>
      <c r="AG526" s="8"/>
    </row>
    <row r="527" ht="13.5" customHeight="1">
      <c r="A527" s="8"/>
      <c r="B527" s="278"/>
      <c r="C527" s="278"/>
      <c r="D527" s="8"/>
      <c r="E527" s="278"/>
      <c r="F527" s="278"/>
      <c r="G527" s="278"/>
      <c r="H527" s="278"/>
      <c r="I527" s="278"/>
      <c r="J527" s="27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278"/>
      <c r="AE527" s="8"/>
      <c r="AF527" s="8"/>
      <c r="AG527" s="8"/>
    </row>
    <row r="528" ht="13.5" customHeight="1">
      <c r="A528" s="8"/>
      <c r="B528" s="278"/>
      <c r="C528" s="278"/>
      <c r="D528" s="8"/>
      <c r="E528" s="278"/>
      <c r="F528" s="278"/>
      <c r="G528" s="278"/>
      <c r="H528" s="278"/>
      <c r="I528" s="278"/>
      <c r="J528" s="27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278"/>
      <c r="AE528" s="8"/>
      <c r="AF528" s="8"/>
      <c r="AG528" s="8"/>
    </row>
    <row r="529" ht="13.5" customHeight="1">
      <c r="A529" s="8"/>
      <c r="B529" s="278"/>
      <c r="C529" s="278"/>
      <c r="D529" s="8"/>
      <c r="E529" s="278"/>
      <c r="F529" s="278"/>
      <c r="G529" s="278"/>
      <c r="H529" s="278"/>
      <c r="I529" s="278"/>
      <c r="J529" s="27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278"/>
      <c r="AE529" s="8"/>
      <c r="AF529" s="8"/>
      <c r="AG529" s="8"/>
    </row>
    <row r="530" ht="13.5" customHeight="1">
      <c r="A530" s="8"/>
      <c r="B530" s="278"/>
      <c r="C530" s="278"/>
      <c r="D530" s="8"/>
      <c r="E530" s="278"/>
      <c r="F530" s="278"/>
      <c r="G530" s="278"/>
      <c r="H530" s="278"/>
      <c r="I530" s="278"/>
      <c r="J530" s="27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278"/>
      <c r="AE530" s="8"/>
      <c r="AF530" s="8"/>
      <c r="AG530" s="8"/>
    </row>
    <row r="531" ht="13.5" customHeight="1">
      <c r="A531" s="8"/>
      <c r="B531" s="278"/>
      <c r="C531" s="278"/>
      <c r="D531" s="8"/>
      <c r="E531" s="278"/>
      <c r="F531" s="278"/>
      <c r="G531" s="278"/>
      <c r="H531" s="278"/>
      <c r="I531" s="278"/>
      <c r="J531" s="27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278"/>
      <c r="AE531" s="8"/>
      <c r="AF531" s="8"/>
      <c r="AG531" s="8"/>
    </row>
    <row r="532" ht="13.5" customHeight="1">
      <c r="A532" s="8"/>
      <c r="B532" s="278"/>
      <c r="C532" s="278"/>
      <c r="D532" s="8"/>
      <c r="E532" s="278"/>
      <c r="F532" s="278"/>
      <c r="G532" s="278"/>
      <c r="H532" s="278"/>
      <c r="I532" s="278"/>
      <c r="J532" s="27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278"/>
      <c r="AE532" s="8"/>
      <c r="AF532" s="8"/>
      <c r="AG532" s="8"/>
    </row>
    <row r="533" ht="13.5" customHeight="1">
      <c r="A533" s="8"/>
      <c r="B533" s="278"/>
      <c r="C533" s="278"/>
      <c r="D533" s="8"/>
      <c r="E533" s="278"/>
      <c r="F533" s="278"/>
      <c r="G533" s="278"/>
      <c r="H533" s="278"/>
      <c r="I533" s="278"/>
      <c r="J533" s="27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278"/>
      <c r="AE533" s="8"/>
      <c r="AF533" s="8"/>
      <c r="AG533" s="8"/>
    </row>
    <row r="534" ht="13.5" customHeight="1">
      <c r="A534" s="8"/>
      <c r="B534" s="278"/>
      <c r="C534" s="278"/>
      <c r="D534" s="8"/>
      <c r="E534" s="278"/>
      <c r="F534" s="278"/>
      <c r="G534" s="278"/>
      <c r="H534" s="278"/>
      <c r="I534" s="278"/>
      <c r="J534" s="27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278"/>
      <c r="AE534" s="8"/>
      <c r="AF534" s="8"/>
      <c r="AG534" s="8"/>
    </row>
    <row r="535" ht="13.5" customHeight="1">
      <c r="A535" s="8"/>
      <c r="B535" s="278"/>
      <c r="C535" s="278"/>
      <c r="D535" s="8"/>
      <c r="E535" s="278"/>
      <c r="F535" s="278"/>
      <c r="G535" s="278"/>
      <c r="H535" s="278"/>
      <c r="I535" s="278"/>
      <c r="J535" s="27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278"/>
      <c r="AE535" s="8"/>
      <c r="AF535" s="8"/>
      <c r="AG535" s="8"/>
    </row>
    <row r="536" ht="13.5" customHeight="1">
      <c r="A536" s="8"/>
      <c r="B536" s="278"/>
      <c r="C536" s="278"/>
      <c r="D536" s="8"/>
      <c r="E536" s="278"/>
      <c r="F536" s="278"/>
      <c r="G536" s="278"/>
      <c r="H536" s="278"/>
      <c r="I536" s="278"/>
      <c r="J536" s="27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278"/>
      <c r="AE536" s="8"/>
      <c r="AF536" s="8"/>
      <c r="AG536" s="8"/>
    </row>
    <row r="537" ht="13.5" customHeight="1">
      <c r="A537" s="8"/>
      <c r="B537" s="278"/>
      <c r="C537" s="278"/>
      <c r="D537" s="8"/>
      <c r="E537" s="278"/>
      <c r="F537" s="278"/>
      <c r="G537" s="278"/>
      <c r="H537" s="278"/>
      <c r="I537" s="278"/>
      <c r="J537" s="27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278"/>
      <c r="AE537" s="8"/>
      <c r="AF537" s="8"/>
      <c r="AG537" s="8"/>
    </row>
    <row r="538" ht="13.5" customHeight="1">
      <c r="A538" s="8"/>
      <c r="B538" s="278"/>
      <c r="C538" s="278"/>
      <c r="D538" s="8"/>
      <c r="E538" s="278"/>
      <c r="F538" s="278"/>
      <c r="G538" s="278"/>
      <c r="H538" s="278"/>
      <c r="I538" s="278"/>
      <c r="J538" s="27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278"/>
      <c r="AE538" s="8"/>
      <c r="AF538" s="8"/>
      <c r="AG538" s="8"/>
    </row>
    <row r="539" ht="13.5" customHeight="1">
      <c r="A539" s="8"/>
      <c r="B539" s="278"/>
      <c r="C539" s="278"/>
      <c r="D539" s="8"/>
      <c r="E539" s="278"/>
      <c r="F539" s="278"/>
      <c r="G539" s="278"/>
      <c r="H539" s="278"/>
      <c r="I539" s="278"/>
      <c r="J539" s="27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278"/>
      <c r="AE539" s="8"/>
      <c r="AF539" s="8"/>
      <c r="AG539" s="8"/>
    </row>
    <row r="540" ht="13.5" customHeight="1">
      <c r="A540" s="8"/>
      <c r="B540" s="278"/>
      <c r="C540" s="278"/>
      <c r="D540" s="8"/>
      <c r="E540" s="278"/>
      <c r="F540" s="278"/>
      <c r="G540" s="278"/>
      <c r="H540" s="278"/>
      <c r="I540" s="278"/>
      <c r="J540" s="27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278"/>
      <c r="AE540" s="8"/>
      <c r="AF540" s="8"/>
      <c r="AG540" s="8"/>
    </row>
    <row r="541" ht="13.5" customHeight="1">
      <c r="A541" s="8"/>
      <c r="B541" s="278"/>
      <c r="C541" s="278"/>
      <c r="D541" s="8"/>
      <c r="E541" s="278"/>
      <c r="F541" s="278"/>
      <c r="G541" s="278"/>
      <c r="H541" s="278"/>
      <c r="I541" s="278"/>
      <c r="J541" s="27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278"/>
      <c r="AE541" s="8"/>
      <c r="AF541" s="8"/>
      <c r="AG541" s="8"/>
    </row>
    <row r="542" ht="13.5" customHeight="1">
      <c r="A542" s="8"/>
      <c r="B542" s="278"/>
      <c r="C542" s="278"/>
      <c r="D542" s="8"/>
      <c r="E542" s="278"/>
      <c r="F542" s="278"/>
      <c r="G542" s="278"/>
      <c r="H542" s="278"/>
      <c r="I542" s="278"/>
      <c r="J542" s="27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278"/>
      <c r="AE542" s="8"/>
      <c r="AF542" s="8"/>
      <c r="AG542" s="8"/>
    </row>
    <row r="543" ht="13.5" customHeight="1">
      <c r="A543" s="8"/>
      <c r="B543" s="278"/>
      <c r="C543" s="278"/>
      <c r="D543" s="8"/>
      <c r="E543" s="278"/>
      <c r="F543" s="278"/>
      <c r="G543" s="278"/>
      <c r="H543" s="278"/>
      <c r="I543" s="278"/>
      <c r="J543" s="27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278"/>
      <c r="AE543" s="8"/>
      <c r="AF543" s="8"/>
      <c r="AG543" s="8"/>
    </row>
    <row r="544" ht="13.5" customHeight="1">
      <c r="A544" s="8"/>
      <c r="B544" s="278"/>
      <c r="C544" s="278"/>
      <c r="D544" s="8"/>
      <c r="E544" s="278"/>
      <c r="F544" s="278"/>
      <c r="G544" s="278"/>
      <c r="H544" s="278"/>
      <c r="I544" s="278"/>
      <c r="J544" s="27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278"/>
      <c r="AE544" s="8"/>
      <c r="AF544" s="8"/>
      <c r="AG544" s="8"/>
    </row>
    <row r="545" ht="13.5" customHeight="1">
      <c r="A545" s="8"/>
      <c r="B545" s="278"/>
      <c r="C545" s="278"/>
      <c r="D545" s="8"/>
      <c r="E545" s="278"/>
      <c r="F545" s="278"/>
      <c r="G545" s="278"/>
      <c r="H545" s="278"/>
      <c r="I545" s="278"/>
      <c r="J545" s="27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278"/>
      <c r="AE545" s="8"/>
      <c r="AF545" s="8"/>
      <c r="AG545" s="8"/>
    </row>
    <row r="546" ht="13.5" customHeight="1">
      <c r="A546" s="8"/>
      <c r="B546" s="278"/>
      <c r="C546" s="278"/>
      <c r="D546" s="8"/>
      <c r="E546" s="278"/>
      <c r="F546" s="278"/>
      <c r="G546" s="278"/>
      <c r="H546" s="278"/>
      <c r="I546" s="278"/>
      <c r="J546" s="27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278"/>
      <c r="AE546" s="8"/>
      <c r="AF546" s="8"/>
      <c r="AG546" s="8"/>
    </row>
    <row r="547" ht="13.5" customHeight="1">
      <c r="A547" s="8"/>
      <c r="B547" s="278"/>
      <c r="C547" s="278"/>
      <c r="D547" s="8"/>
      <c r="E547" s="278"/>
      <c r="F547" s="278"/>
      <c r="G547" s="278"/>
      <c r="H547" s="278"/>
      <c r="I547" s="278"/>
      <c r="J547" s="27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278"/>
      <c r="AE547" s="8"/>
      <c r="AF547" s="8"/>
      <c r="AG547" s="8"/>
    </row>
    <row r="548" ht="13.5" customHeight="1">
      <c r="A548" s="8"/>
      <c r="B548" s="278"/>
      <c r="C548" s="278"/>
      <c r="D548" s="8"/>
      <c r="E548" s="278"/>
      <c r="F548" s="278"/>
      <c r="G548" s="278"/>
      <c r="H548" s="278"/>
      <c r="I548" s="278"/>
      <c r="J548" s="27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278"/>
      <c r="AE548" s="8"/>
      <c r="AF548" s="8"/>
      <c r="AG548" s="8"/>
    </row>
    <row r="549" ht="13.5" customHeight="1">
      <c r="A549" s="8"/>
      <c r="B549" s="278"/>
      <c r="C549" s="278"/>
      <c r="D549" s="8"/>
      <c r="E549" s="278"/>
      <c r="F549" s="278"/>
      <c r="G549" s="278"/>
      <c r="H549" s="278"/>
      <c r="I549" s="278"/>
      <c r="J549" s="27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278"/>
      <c r="AE549" s="8"/>
      <c r="AF549" s="8"/>
      <c r="AG549" s="8"/>
    </row>
    <row r="550" ht="13.5" customHeight="1">
      <c r="A550" s="8"/>
      <c r="B550" s="278"/>
      <c r="C550" s="278"/>
      <c r="D550" s="8"/>
      <c r="E550" s="278"/>
      <c r="F550" s="278"/>
      <c r="G550" s="278"/>
      <c r="H550" s="278"/>
      <c r="I550" s="278"/>
      <c r="J550" s="27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278"/>
      <c r="AE550" s="8"/>
      <c r="AF550" s="8"/>
      <c r="AG550" s="8"/>
    </row>
    <row r="551" ht="13.5" customHeight="1">
      <c r="A551" s="8"/>
      <c r="B551" s="278"/>
      <c r="C551" s="278"/>
      <c r="D551" s="8"/>
      <c r="E551" s="278"/>
      <c r="F551" s="278"/>
      <c r="G551" s="278"/>
      <c r="H551" s="278"/>
      <c r="I551" s="278"/>
      <c r="J551" s="27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278"/>
      <c r="AE551" s="8"/>
      <c r="AF551" s="8"/>
      <c r="AG551" s="8"/>
    </row>
    <row r="552" ht="13.5" customHeight="1">
      <c r="A552" s="8"/>
      <c r="B552" s="278"/>
      <c r="C552" s="278"/>
      <c r="D552" s="8"/>
      <c r="E552" s="278"/>
      <c r="F552" s="278"/>
      <c r="G552" s="278"/>
      <c r="H552" s="278"/>
      <c r="I552" s="278"/>
      <c r="J552" s="27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278"/>
      <c r="AE552" s="8"/>
      <c r="AF552" s="8"/>
      <c r="AG552" s="8"/>
    </row>
    <row r="553" ht="13.5" customHeight="1">
      <c r="A553" s="8"/>
      <c r="B553" s="278"/>
      <c r="C553" s="278"/>
      <c r="D553" s="8"/>
      <c r="E553" s="278"/>
      <c r="F553" s="278"/>
      <c r="G553" s="278"/>
      <c r="H553" s="278"/>
      <c r="I553" s="278"/>
      <c r="J553" s="27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278"/>
      <c r="AE553" s="8"/>
      <c r="AF553" s="8"/>
      <c r="AG553" s="8"/>
    </row>
    <row r="554" ht="13.5" customHeight="1">
      <c r="A554" s="8"/>
      <c r="B554" s="278"/>
      <c r="C554" s="278"/>
      <c r="D554" s="8"/>
      <c r="E554" s="278"/>
      <c r="F554" s="278"/>
      <c r="G554" s="278"/>
      <c r="H554" s="278"/>
      <c r="I554" s="278"/>
      <c r="J554" s="27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278"/>
      <c r="AE554" s="8"/>
      <c r="AF554" s="8"/>
      <c r="AG554" s="8"/>
    </row>
    <row r="555" ht="13.5" customHeight="1">
      <c r="A555" s="8"/>
      <c r="B555" s="278"/>
      <c r="C555" s="278"/>
      <c r="D555" s="8"/>
      <c r="E555" s="278"/>
      <c r="F555" s="278"/>
      <c r="G555" s="278"/>
      <c r="H555" s="278"/>
      <c r="I555" s="278"/>
      <c r="J555" s="27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278"/>
      <c r="AE555" s="8"/>
      <c r="AF555" s="8"/>
      <c r="AG555" s="8"/>
    </row>
    <row r="556" ht="13.5" customHeight="1">
      <c r="A556" s="8"/>
      <c r="B556" s="278"/>
      <c r="C556" s="278"/>
      <c r="D556" s="8"/>
      <c r="E556" s="278"/>
      <c r="F556" s="278"/>
      <c r="G556" s="278"/>
      <c r="H556" s="278"/>
      <c r="I556" s="278"/>
      <c r="J556" s="27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278"/>
      <c r="AE556" s="8"/>
      <c r="AF556" s="8"/>
      <c r="AG556" s="8"/>
    </row>
    <row r="557" ht="13.5" customHeight="1">
      <c r="A557" s="8"/>
      <c r="B557" s="278"/>
      <c r="C557" s="278"/>
      <c r="D557" s="8"/>
      <c r="E557" s="278"/>
      <c r="F557" s="278"/>
      <c r="G557" s="278"/>
      <c r="H557" s="278"/>
      <c r="I557" s="278"/>
      <c r="J557" s="27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278"/>
      <c r="AE557" s="8"/>
      <c r="AF557" s="8"/>
      <c r="AG557" s="8"/>
    </row>
    <row r="558" ht="13.5" customHeight="1">
      <c r="A558" s="8"/>
      <c r="B558" s="278"/>
      <c r="C558" s="278"/>
      <c r="D558" s="8"/>
      <c r="E558" s="278"/>
      <c r="F558" s="278"/>
      <c r="G558" s="278"/>
      <c r="H558" s="278"/>
      <c r="I558" s="278"/>
      <c r="J558" s="27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278"/>
      <c r="AE558" s="8"/>
      <c r="AF558" s="8"/>
      <c r="AG558" s="8"/>
    </row>
    <row r="559" ht="13.5" customHeight="1">
      <c r="A559" s="8"/>
      <c r="B559" s="278"/>
      <c r="C559" s="278"/>
      <c r="D559" s="8"/>
      <c r="E559" s="278"/>
      <c r="F559" s="278"/>
      <c r="G559" s="278"/>
      <c r="H559" s="278"/>
      <c r="I559" s="278"/>
      <c r="J559" s="27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278"/>
      <c r="AE559" s="8"/>
      <c r="AF559" s="8"/>
      <c r="AG559" s="8"/>
    </row>
    <row r="560" ht="13.5" customHeight="1">
      <c r="A560" s="8"/>
      <c r="B560" s="278"/>
      <c r="C560" s="278"/>
      <c r="D560" s="8"/>
      <c r="E560" s="278"/>
      <c r="F560" s="278"/>
      <c r="G560" s="278"/>
      <c r="H560" s="278"/>
      <c r="I560" s="278"/>
      <c r="J560" s="27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278"/>
      <c r="AE560" s="8"/>
      <c r="AF560" s="8"/>
      <c r="AG560" s="8"/>
    </row>
    <row r="561" ht="13.5" customHeight="1">
      <c r="A561" s="8"/>
      <c r="B561" s="278"/>
      <c r="C561" s="278"/>
      <c r="D561" s="8"/>
      <c r="E561" s="278"/>
      <c r="F561" s="278"/>
      <c r="G561" s="278"/>
      <c r="H561" s="278"/>
      <c r="I561" s="278"/>
      <c r="J561" s="27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278"/>
      <c r="AE561" s="8"/>
      <c r="AF561" s="8"/>
      <c r="AG561" s="8"/>
    </row>
    <row r="562" ht="13.5" customHeight="1">
      <c r="A562" s="8"/>
      <c r="B562" s="278"/>
      <c r="C562" s="278"/>
      <c r="D562" s="8"/>
      <c r="E562" s="278"/>
      <c r="F562" s="278"/>
      <c r="G562" s="278"/>
      <c r="H562" s="278"/>
      <c r="I562" s="278"/>
      <c r="J562" s="27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278"/>
      <c r="AE562" s="8"/>
      <c r="AF562" s="8"/>
      <c r="AG562" s="8"/>
    </row>
    <row r="563" ht="13.5" customHeight="1">
      <c r="A563" s="8"/>
      <c r="B563" s="278"/>
      <c r="C563" s="278"/>
      <c r="D563" s="8"/>
      <c r="E563" s="278"/>
      <c r="F563" s="278"/>
      <c r="G563" s="278"/>
      <c r="H563" s="278"/>
      <c r="I563" s="278"/>
      <c r="J563" s="27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278"/>
      <c r="AE563" s="8"/>
      <c r="AF563" s="8"/>
      <c r="AG563" s="8"/>
    </row>
    <row r="564" ht="13.5" customHeight="1">
      <c r="A564" s="8"/>
      <c r="B564" s="278"/>
      <c r="C564" s="278"/>
      <c r="D564" s="8"/>
      <c r="E564" s="278"/>
      <c r="F564" s="278"/>
      <c r="G564" s="278"/>
      <c r="H564" s="278"/>
      <c r="I564" s="278"/>
      <c r="J564" s="27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278"/>
      <c r="AE564" s="8"/>
      <c r="AF564" s="8"/>
      <c r="AG564" s="8"/>
    </row>
    <row r="565" ht="13.5" customHeight="1">
      <c r="A565" s="8"/>
      <c r="B565" s="278"/>
      <c r="C565" s="278"/>
      <c r="D565" s="8"/>
      <c r="E565" s="278"/>
      <c r="F565" s="278"/>
      <c r="G565" s="278"/>
      <c r="H565" s="278"/>
      <c r="I565" s="278"/>
      <c r="J565" s="27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278"/>
      <c r="AE565" s="8"/>
      <c r="AF565" s="8"/>
      <c r="AG565" s="8"/>
    </row>
    <row r="566" ht="13.5" customHeight="1">
      <c r="A566" s="8"/>
      <c r="B566" s="278"/>
      <c r="C566" s="278"/>
      <c r="D566" s="8"/>
      <c r="E566" s="278"/>
      <c r="F566" s="278"/>
      <c r="G566" s="278"/>
      <c r="H566" s="278"/>
      <c r="I566" s="278"/>
      <c r="J566" s="27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278"/>
      <c r="AE566" s="8"/>
      <c r="AF566" s="8"/>
      <c r="AG566" s="8"/>
    </row>
    <row r="567" ht="13.5" customHeight="1">
      <c r="A567" s="8"/>
      <c r="B567" s="278"/>
      <c r="C567" s="278"/>
      <c r="D567" s="8"/>
      <c r="E567" s="278"/>
      <c r="F567" s="278"/>
      <c r="G567" s="278"/>
      <c r="H567" s="278"/>
      <c r="I567" s="278"/>
      <c r="J567" s="27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278"/>
      <c r="AE567" s="8"/>
      <c r="AF567" s="8"/>
      <c r="AG567" s="8"/>
    </row>
    <row r="568" ht="13.5" customHeight="1">
      <c r="A568" s="8"/>
      <c r="B568" s="278"/>
      <c r="C568" s="278"/>
      <c r="D568" s="8"/>
      <c r="E568" s="278"/>
      <c r="F568" s="278"/>
      <c r="G568" s="278"/>
      <c r="H568" s="278"/>
      <c r="I568" s="278"/>
      <c r="J568" s="27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278"/>
      <c r="AE568" s="8"/>
      <c r="AF568" s="8"/>
      <c r="AG568" s="8"/>
    </row>
    <row r="569" ht="13.5" customHeight="1">
      <c r="A569" s="8"/>
      <c r="B569" s="278"/>
      <c r="C569" s="278"/>
      <c r="D569" s="8"/>
      <c r="E569" s="278"/>
      <c r="F569" s="278"/>
      <c r="G569" s="278"/>
      <c r="H569" s="278"/>
      <c r="I569" s="278"/>
      <c r="J569" s="27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278"/>
      <c r="AE569" s="8"/>
      <c r="AF569" s="8"/>
      <c r="AG569" s="8"/>
    </row>
    <row r="570" ht="13.5" customHeight="1">
      <c r="A570" s="8"/>
      <c r="B570" s="278"/>
      <c r="C570" s="278"/>
      <c r="D570" s="8"/>
      <c r="E570" s="278"/>
      <c r="F570" s="278"/>
      <c r="G570" s="278"/>
      <c r="H570" s="278"/>
      <c r="I570" s="278"/>
      <c r="J570" s="27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278"/>
      <c r="AE570" s="8"/>
      <c r="AF570" s="8"/>
      <c r="AG570" s="8"/>
    </row>
    <row r="571" ht="13.5" customHeight="1">
      <c r="A571" s="8"/>
      <c r="B571" s="278"/>
      <c r="C571" s="278"/>
      <c r="D571" s="8"/>
      <c r="E571" s="278"/>
      <c r="F571" s="278"/>
      <c r="G571" s="278"/>
      <c r="H571" s="278"/>
      <c r="I571" s="278"/>
      <c r="J571" s="27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278"/>
      <c r="AE571" s="8"/>
      <c r="AF571" s="8"/>
      <c r="AG571" s="8"/>
    </row>
    <row r="572" ht="13.5" customHeight="1">
      <c r="A572" s="8"/>
      <c r="B572" s="278"/>
      <c r="C572" s="278"/>
      <c r="D572" s="8"/>
      <c r="E572" s="278"/>
      <c r="F572" s="278"/>
      <c r="G572" s="278"/>
      <c r="H572" s="278"/>
      <c r="I572" s="278"/>
      <c r="J572" s="27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278"/>
      <c r="AE572" s="8"/>
      <c r="AF572" s="8"/>
      <c r="AG572" s="8"/>
    </row>
    <row r="573" ht="13.5" customHeight="1">
      <c r="A573" s="8"/>
      <c r="B573" s="278"/>
      <c r="C573" s="278"/>
      <c r="D573" s="8"/>
      <c r="E573" s="278"/>
      <c r="F573" s="278"/>
      <c r="G573" s="278"/>
      <c r="H573" s="278"/>
      <c r="I573" s="278"/>
      <c r="J573" s="27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278"/>
      <c r="AE573" s="8"/>
      <c r="AF573" s="8"/>
      <c r="AG573" s="8"/>
    </row>
    <row r="574" ht="13.5" customHeight="1">
      <c r="A574" s="8"/>
      <c r="B574" s="278"/>
      <c r="C574" s="278"/>
      <c r="D574" s="8"/>
      <c r="E574" s="278"/>
      <c r="F574" s="278"/>
      <c r="G574" s="278"/>
      <c r="H574" s="278"/>
      <c r="I574" s="278"/>
      <c r="J574" s="27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278"/>
      <c r="AE574" s="8"/>
      <c r="AF574" s="8"/>
      <c r="AG574" s="8"/>
    </row>
    <row r="575" ht="13.5" customHeight="1">
      <c r="A575" s="8"/>
      <c r="B575" s="278"/>
      <c r="C575" s="278"/>
      <c r="D575" s="8"/>
      <c r="E575" s="278"/>
      <c r="F575" s="278"/>
      <c r="G575" s="278"/>
      <c r="H575" s="278"/>
      <c r="I575" s="278"/>
      <c r="J575" s="27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278"/>
      <c r="AE575" s="8"/>
      <c r="AF575" s="8"/>
      <c r="AG575" s="8"/>
    </row>
    <row r="576" ht="13.5" customHeight="1">
      <c r="A576" s="8"/>
      <c r="B576" s="278"/>
      <c r="C576" s="278"/>
      <c r="D576" s="8"/>
      <c r="E576" s="278"/>
      <c r="F576" s="278"/>
      <c r="G576" s="278"/>
      <c r="H576" s="278"/>
      <c r="I576" s="278"/>
      <c r="J576" s="27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278"/>
      <c r="AE576" s="8"/>
      <c r="AF576" s="8"/>
      <c r="AG576" s="8"/>
    </row>
    <row r="577" ht="13.5" customHeight="1">
      <c r="A577" s="8"/>
      <c r="B577" s="278"/>
      <c r="C577" s="278"/>
      <c r="D577" s="8"/>
      <c r="E577" s="278"/>
      <c r="F577" s="278"/>
      <c r="G577" s="278"/>
      <c r="H577" s="278"/>
      <c r="I577" s="278"/>
      <c r="J577" s="27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278"/>
      <c r="AE577" s="8"/>
      <c r="AF577" s="8"/>
      <c r="AG577" s="8"/>
    </row>
    <row r="578" ht="13.5" customHeight="1">
      <c r="A578" s="8"/>
      <c r="B578" s="278"/>
      <c r="C578" s="278"/>
      <c r="D578" s="8"/>
      <c r="E578" s="278"/>
      <c r="F578" s="278"/>
      <c r="G578" s="278"/>
      <c r="H578" s="278"/>
      <c r="I578" s="278"/>
      <c r="J578" s="27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278"/>
      <c r="AE578" s="8"/>
      <c r="AF578" s="8"/>
      <c r="AG578" s="8"/>
    </row>
    <row r="579" ht="13.5" customHeight="1">
      <c r="A579" s="8"/>
      <c r="B579" s="278"/>
      <c r="C579" s="278"/>
      <c r="D579" s="8"/>
      <c r="E579" s="278"/>
      <c r="F579" s="278"/>
      <c r="G579" s="278"/>
      <c r="H579" s="278"/>
      <c r="I579" s="278"/>
      <c r="J579" s="27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278"/>
      <c r="AE579" s="8"/>
      <c r="AF579" s="8"/>
      <c r="AG579" s="8"/>
    </row>
    <row r="580" ht="13.5" customHeight="1">
      <c r="A580" s="8"/>
      <c r="B580" s="278"/>
      <c r="C580" s="278"/>
      <c r="D580" s="8"/>
      <c r="E580" s="278"/>
      <c r="F580" s="278"/>
      <c r="G580" s="278"/>
      <c r="H580" s="278"/>
      <c r="I580" s="278"/>
      <c r="J580" s="27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278"/>
      <c r="AE580" s="8"/>
      <c r="AF580" s="8"/>
      <c r="AG580" s="8"/>
    </row>
    <row r="581" ht="13.5" customHeight="1">
      <c r="A581" s="8"/>
      <c r="B581" s="278"/>
      <c r="C581" s="278"/>
      <c r="D581" s="8"/>
      <c r="E581" s="278"/>
      <c r="F581" s="278"/>
      <c r="G581" s="278"/>
      <c r="H581" s="278"/>
      <c r="I581" s="278"/>
      <c r="J581" s="27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278"/>
      <c r="AE581" s="8"/>
      <c r="AF581" s="8"/>
      <c r="AG581" s="8"/>
    </row>
    <row r="582" ht="13.5" customHeight="1">
      <c r="A582" s="8"/>
      <c r="B582" s="278"/>
      <c r="C582" s="278"/>
      <c r="D582" s="8"/>
      <c r="E582" s="278"/>
      <c r="F582" s="278"/>
      <c r="G582" s="278"/>
      <c r="H582" s="278"/>
      <c r="I582" s="278"/>
      <c r="J582" s="27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278"/>
      <c r="AE582" s="8"/>
      <c r="AF582" s="8"/>
      <c r="AG582" s="8"/>
    </row>
    <row r="583" ht="13.5" customHeight="1">
      <c r="A583" s="8"/>
      <c r="B583" s="278"/>
      <c r="C583" s="278"/>
      <c r="D583" s="8"/>
      <c r="E583" s="278"/>
      <c r="F583" s="278"/>
      <c r="G583" s="278"/>
      <c r="H583" s="278"/>
      <c r="I583" s="278"/>
      <c r="J583" s="27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278"/>
      <c r="AE583" s="8"/>
      <c r="AF583" s="8"/>
      <c r="AG583" s="8"/>
    </row>
    <row r="584" ht="13.5" customHeight="1">
      <c r="A584" s="8"/>
      <c r="B584" s="278"/>
      <c r="C584" s="278"/>
      <c r="D584" s="8"/>
      <c r="E584" s="278"/>
      <c r="F584" s="278"/>
      <c r="G584" s="278"/>
      <c r="H584" s="278"/>
      <c r="I584" s="278"/>
      <c r="J584" s="27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278"/>
      <c r="AE584" s="8"/>
      <c r="AF584" s="8"/>
      <c r="AG584" s="8"/>
    </row>
    <row r="585" ht="13.5" customHeight="1">
      <c r="A585" s="8"/>
      <c r="B585" s="278"/>
      <c r="C585" s="278"/>
      <c r="D585" s="8"/>
      <c r="E585" s="278"/>
      <c r="F585" s="278"/>
      <c r="G585" s="278"/>
      <c r="H585" s="278"/>
      <c r="I585" s="278"/>
      <c r="J585" s="27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278"/>
      <c r="AE585" s="8"/>
      <c r="AF585" s="8"/>
      <c r="AG585" s="8"/>
    </row>
    <row r="586" ht="13.5" customHeight="1">
      <c r="A586" s="8"/>
      <c r="B586" s="278"/>
      <c r="C586" s="278"/>
      <c r="D586" s="8"/>
      <c r="E586" s="278"/>
      <c r="F586" s="278"/>
      <c r="G586" s="278"/>
      <c r="H586" s="278"/>
      <c r="I586" s="278"/>
      <c r="J586" s="27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278"/>
      <c r="AE586" s="8"/>
      <c r="AF586" s="8"/>
      <c r="AG586" s="8"/>
    </row>
    <row r="587" ht="13.5" customHeight="1">
      <c r="A587" s="8"/>
      <c r="B587" s="278"/>
      <c r="C587" s="278"/>
      <c r="D587" s="8"/>
      <c r="E587" s="278"/>
      <c r="F587" s="278"/>
      <c r="G587" s="278"/>
      <c r="H587" s="278"/>
      <c r="I587" s="278"/>
      <c r="J587" s="27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278"/>
      <c r="AE587" s="8"/>
      <c r="AF587" s="8"/>
      <c r="AG587" s="8"/>
    </row>
    <row r="588" ht="13.5" customHeight="1">
      <c r="A588" s="8"/>
      <c r="B588" s="278"/>
      <c r="C588" s="278"/>
      <c r="D588" s="8"/>
      <c r="E588" s="278"/>
      <c r="F588" s="278"/>
      <c r="G588" s="278"/>
      <c r="H588" s="278"/>
      <c r="I588" s="278"/>
      <c r="J588" s="27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278"/>
      <c r="AE588" s="8"/>
      <c r="AF588" s="8"/>
      <c r="AG588" s="8"/>
    </row>
    <row r="589" ht="13.5" customHeight="1">
      <c r="A589" s="8"/>
      <c r="B589" s="278"/>
      <c r="C589" s="278"/>
      <c r="D589" s="8"/>
      <c r="E589" s="278"/>
      <c r="F589" s="278"/>
      <c r="G589" s="278"/>
      <c r="H589" s="278"/>
      <c r="I589" s="278"/>
      <c r="J589" s="27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278"/>
      <c r="AE589" s="8"/>
      <c r="AF589" s="8"/>
      <c r="AG589" s="8"/>
    </row>
    <row r="590" ht="13.5" customHeight="1">
      <c r="A590" s="8"/>
      <c r="B590" s="278"/>
      <c r="C590" s="278"/>
      <c r="D590" s="8"/>
      <c r="E590" s="278"/>
      <c r="F590" s="278"/>
      <c r="G590" s="278"/>
      <c r="H590" s="278"/>
      <c r="I590" s="278"/>
      <c r="J590" s="27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278"/>
      <c r="AE590" s="8"/>
      <c r="AF590" s="8"/>
      <c r="AG590" s="8"/>
    </row>
    <row r="591" ht="13.5" customHeight="1">
      <c r="A591" s="8"/>
      <c r="B591" s="278"/>
      <c r="C591" s="278"/>
      <c r="D591" s="8"/>
      <c r="E591" s="278"/>
      <c r="F591" s="278"/>
      <c r="G591" s="278"/>
      <c r="H591" s="278"/>
      <c r="I591" s="278"/>
      <c r="J591" s="27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278"/>
      <c r="AE591" s="8"/>
      <c r="AF591" s="8"/>
      <c r="AG591" s="8"/>
    </row>
    <row r="592" ht="13.5" customHeight="1">
      <c r="A592" s="8"/>
      <c r="B592" s="278"/>
      <c r="C592" s="278"/>
      <c r="D592" s="8"/>
      <c r="E592" s="278"/>
      <c r="F592" s="278"/>
      <c r="G592" s="278"/>
      <c r="H592" s="278"/>
      <c r="I592" s="278"/>
      <c r="J592" s="27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278"/>
      <c r="AE592" s="8"/>
      <c r="AF592" s="8"/>
      <c r="AG592" s="8"/>
    </row>
    <row r="593" ht="13.5" customHeight="1">
      <c r="A593" s="8"/>
      <c r="B593" s="278"/>
      <c r="C593" s="278"/>
      <c r="D593" s="8"/>
      <c r="E593" s="278"/>
      <c r="F593" s="278"/>
      <c r="G593" s="278"/>
      <c r="H593" s="278"/>
      <c r="I593" s="278"/>
      <c r="J593" s="27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278"/>
      <c r="AE593" s="8"/>
      <c r="AF593" s="8"/>
      <c r="AG593" s="8"/>
    </row>
    <row r="594" ht="13.5" customHeight="1">
      <c r="A594" s="8"/>
      <c r="B594" s="278"/>
      <c r="C594" s="278"/>
      <c r="D594" s="8"/>
      <c r="E594" s="278"/>
      <c r="F594" s="278"/>
      <c r="G594" s="278"/>
      <c r="H594" s="278"/>
      <c r="I594" s="278"/>
      <c r="J594" s="27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278"/>
      <c r="AE594" s="8"/>
      <c r="AF594" s="8"/>
      <c r="AG594" s="8"/>
    </row>
    <row r="595" ht="13.5" customHeight="1">
      <c r="A595" s="8"/>
      <c r="B595" s="278"/>
      <c r="C595" s="278"/>
      <c r="D595" s="8"/>
      <c r="E595" s="278"/>
      <c r="F595" s="278"/>
      <c r="G595" s="278"/>
      <c r="H595" s="278"/>
      <c r="I595" s="278"/>
      <c r="J595" s="27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278"/>
      <c r="AE595" s="8"/>
      <c r="AF595" s="8"/>
      <c r="AG595" s="8"/>
    </row>
    <row r="596" ht="13.5" customHeight="1">
      <c r="A596" s="8"/>
      <c r="B596" s="278"/>
      <c r="C596" s="278"/>
      <c r="D596" s="8"/>
      <c r="E596" s="278"/>
      <c r="F596" s="278"/>
      <c r="G596" s="278"/>
      <c r="H596" s="278"/>
      <c r="I596" s="278"/>
      <c r="J596" s="27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278"/>
      <c r="AE596" s="8"/>
      <c r="AF596" s="8"/>
      <c r="AG596" s="8"/>
    </row>
    <row r="597" ht="13.5" customHeight="1">
      <c r="A597" s="8"/>
      <c r="B597" s="278"/>
      <c r="C597" s="278"/>
      <c r="D597" s="8"/>
      <c r="E597" s="278"/>
      <c r="F597" s="278"/>
      <c r="G597" s="278"/>
      <c r="H597" s="278"/>
      <c r="I597" s="278"/>
      <c r="J597" s="27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278"/>
      <c r="AE597" s="8"/>
      <c r="AF597" s="8"/>
      <c r="AG597" s="8"/>
    </row>
    <row r="598" ht="13.5" customHeight="1">
      <c r="A598" s="8"/>
      <c r="B598" s="278"/>
      <c r="C598" s="278"/>
      <c r="D598" s="8"/>
      <c r="E598" s="278"/>
      <c r="F598" s="278"/>
      <c r="G598" s="278"/>
      <c r="H598" s="278"/>
      <c r="I598" s="278"/>
      <c r="J598" s="27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278"/>
      <c r="AE598" s="8"/>
      <c r="AF598" s="8"/>
      <c r="AG598" s="8"/>
    </row>
    <row r="599" ht="13.5" customHeight="1">
      <c r="A599" s="8"/>
      <c r="B599" s="278"/>
      <c r="C599" s="278"/>
      <c r="D599" s="8"/>
      <c r="E599" s="278"/>
      <c r="F599" s="278"/>
      <c r="G599" s="278"/>
      <c r="H599" s="278"/>
      <c r="I599" s="278"/>
      <c r="J599" s="27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278"/>
      <c r="AE599" s="8"/>
      <c r="AF599" s="8"/>
      <c r="AG599" s="8"/>
    </row>
    <row r="600" ht="13.5" customHeight="1">
      <c r="A600" s="8"/>
      <c r="B600" s="278"/>
      <c r="C600" s="278"/>
      <c r="D600" s="8"/>
      <c r="E600" s="278"/>
      <c r="F600" s="278"/>
      <c r="G600" s="278"/>
      <c r="H600" s="278"/>
      <c r="I600" s="278"/>
      <c r="J600" s="27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278"/>
      <c r="AE600" s="8"/>
      <c r="AF600" s="8"/>
      <c r="AG600" s="8"/>
    </row>
    <row r="601" ht="13.5" customHeight="1">
      <c r="A601" s="8"/>
      <c r="B601" s="278"/>
      <c r="C601" s="278"/>
      <c r="D601" s="8"/>
      <c r="E601" s="278"/>
      <c r="F601" s="278"/>
      <c r="G601" s="278"/>
      <c r="H601" s="278"/>
      <c r="I601" s="278"/>
      <c r="J601" s="27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278"/>
      <c r="AE601" s="8"/>
      <c r="AF601" s="8"/>
      <c r="AG601" s="8"/>
    </row>
    <row r="602" ht="13.5" customHeight="1">
      <c r="A602" s="8"/>
      <c r="B602" s="278"/>
      <c r="C602" s="278"/>
      <c r="D602" s="8"/>
      <c r="E602" s="278"/>
      <c r="F602" s="278"/>
      <c r="G602" s="278"/>
      <c r="H602" s="278"/>
      <c r="I602" s="278"/>
      <c r="J602" s="27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278"/>
      <c r="AE602" s="8"/>
      <c r="AF602" s="8"/>
      <c r="AG602" s="8"/>
    </row>
    <row r="603" ht="13.5" customHeight="1">
      <c r="A603" s="8"/>
      <c r="B603" s="278"/>
      <c r="C603" s="278"/>
      <c r="D603" s="8"/>
      <c r="E603" s="278"/>
      <c r="F603" s="278"/>
      <c r="G603" s="278"/>
      <c r="H603" s="278"/>
      <c r="I603" s="278"/>
      <c r="J603" s="27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278"/>
      <c r="AE603" s="8"/>
      <c r="AF603" s="8"/>
      <c r="AG603" s="8"/>
    </row>
    <row r="604" ht="13.5" customHeight="1">
      <c r="A604" s="8"/>
      <c r="B604" s="278"/>
      <c r="C604" s="278"/>
      <c r="D604" s="8"/>
      <c r="E604" s="278"/>
      <c r="F604" s="278"/>
      <c r="G604" s="278"/>
      <c r="H604" s="278"/>
      <c r="I604" s="278"/>
      <c r="J604" s="27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278"/>
      <c r="AE604" s="8"/>
      <c r="AF604" s="8"/>
      <c r="AG604" s="8"/>
    </row>
    <row r="605" ht="13.5" customHeight="1">
      <c r="A605" s="8"/>
      <c r="B605" s="278"/>
      <c r="C605" s="278"/>
      <c r="D605" s="8"/>
      <c r="E605" s="278"/>
      <c r="F605" s="278"/>
      <c r="G605" s="278"/>
      <c r="H605" s="278"/>
      <c r="I605" s="278"/>
      <c r="J605" s="27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278"/>
      <c r="AE605" s="8"/>
      <c r="AF605" s="8"/>
      <c r="AG605" s="8"/>
    </row>
    <row r="606" ht="13.5" customHeight="1">
      <c r="A606" s="8"/>
      <c r="B606" s="278"/>
      <c r="C606" s="278"/>
      <c r="D606" s="8"/>
      <c r="E606" s="278"/>
      <c r="F606" s="278"/>
      <c r="G606" s="278"/>
      <c r="H606" s="278"/>
      <c r="I606" s="278"/>
      <c r="J606" s="27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278"/>
      <c r="AE606" s="8"/>
      <c r="AF606" s="8"/>
      <c r="AG606" s="8"/>
    </row>
    <row r="607" ht="13.5" customHeight="1">
      <c r="A607" s="8"/>
      <c r="B607" s="278"/>
      <c r="C607" s="278"/>
      <c r="D607" s="8"/>
      <c r="E607" s="278"/>
      <c r="F607" s="278"/>
      <c r="G607" s="278"/>
      <c r="H607" s="278"/>
      <c r="I607" s="278"/>
      <c r="J607" s="27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278"/>
      <c r="AE607" s="8"/>
      <c r="AF607" s="8"/>
      <c r="AG607" s="8"/>
    </row>
    <row r="608" ht="13.5" customHeight="1">
      <c r="A608" s="8"/>
      <c r="B608" s="278"/>
      <c r="C608" s="278"/>
      <c r="D608" s="8"/>
      <c r="E608" s="278"/>
      <c r="F608" s="278"/>
      <c r="G608" s="278"/>
      <c r="H608" s="278"/>
      <c r="I608" s="278"/>
      <c r="J608" s="27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278"/>
      <c r="AE608" s="8"/>
      <c r="AF608" s="8"/>
      <c r="AG608" s="8"/>
    </row>
    <row r="609" ht="13.5" customHeight="1">
      <c r="A609" s="8"/>
      <c r="B609" s="278"/>
      <c r="C609" s="278"/>
      <c r="D609" s="8"/>
      <c r="E609" s="278"/>
      <c r="F609" s="278"/>
      <c r="G609" s="278"/>
      <c r="H609" s="278"/>
      <c r="I609" s="278"/>
      <c r="J609" s="27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278"/>
      <c r="AE609" s="8"/>
      <c r="AF609" s="8"/>
      <c r="AG609" s="8"/>
    </row>
    <row r="610" ht="13.5" customHeight="1">
      <c r="A610" s="8"/>
      <c r="B610" s="278"/>
      <c r="C610" s="278"/>
      <c r="D610" s="8"/>
      <c r="E610" s="278"/>
      <c r="F610" s="278"/>
      <c r="G610" s="278"/>
      <c r="H610" s="278"/>
      <c r="I610" s="278"/>
      <c r="J610" s="27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278"/>
      <c r="AE610" s="8"/>
      <c r="AF610" s="8"/>
      <c r="AG610" s="8"/>
    </row>
    <row r="611" ht="13.5" customHeight="1">
      <c r="A611" s="8"/>
      <c r="B611" s="278"/>
      <c r="C611" s="278"/>
      <c r="D611" s="8"/>
      <c r="E611" s="278"/>
      <c r="F611" s="278"/>
      <c r="G611" s="278"/>
      <c r="H611" s="278"/>
      <c r="I611" s="278"/>
      <c r="J611" s="27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278"/>
      <c r="AE611" s="8"/>
      <c r="AF611" s="8"/>
      <c r="AG611" s="8"/>
    </row>
    <row r="612" ht="13.5" customHeight="1">
      <c r="A612" s="8"/>
      <c r="B612" s="278"/>
      <c r="C612" s="278"/>
      <c r="D612" s="8"/>
      <c r="E612" s="278"/>
      <c r="F612" s="278"/>
      <c r="G612" s="278"/>
      <c r="H612" s="278"/>
      <c r="I612" s="278"/>
      <c r="J612" s="27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278"/>
      <c r="AE612" s="8"/>
      <c r="AF612" s="8"/>
      <c r="AG612" s="8"/>
    </row>
    <row r="613" ht="13.5" customHeight="1">
      <c r="A613" s="8"/>
      <c r="B613" s="278"/>
      <c r="C613" s="278"/>
      <c r="D613" s="8"/>
      <c r="E613" s="278"/>
      <c r="F613" s="278"/>
      <c r="G613" s="278"/>
      <c r="H613" s="278"/>
      <c r="I613" s="278"/>
      <c r="J613" s="27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278"/>
      <c r="AE613" s="8"/>
      <c r="AF613" s="8"/>
      <c r="AG613" s="8"/>
    </row>
    <row r="614" ht="13.5" customHeight="1">
      <c r="A614" s="8"/>
      <c r="B614" s="278"/>
      <c r="C614" s="278"/>
      <c r="D614" s="8"/>
      <c r="E614" s="278"/>
      <c r="F614" s="278"/>
      <c r="G614" s="278"/>
      <c r="H614" s="278"/>
      <c r="I614" s="278"/>
      <c r="J614" s="27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278"/>
      <c r="AE614" s="8"/>
      <c r="AF614" s="8"/>
      <c r="AG614" s="8"/>
    </row>
    <row r="615" ht="13.5" customHeight="1">
      <c r="A615" s="8"/>
      <c r="B615" s="278"/>
      <c r="C615" s="278"/>
      <c r="D615" s="8"/>
      <c r="E615" s="278"/>
      <c r="F615" s="278"/>
      <c r="G615" s="278"/>
      <c r="H615" s="278"/>
      <c r="I615" s="278"/>
      <c r="J615" s="27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278"/>
      <c r="AE615" s="8"/>
      <c r="AF615" s="8"/>
      <c r="AG615" s="8"/>
    </row>
    <row r="616" ht="13.5" customHeight="1">
      <c r="A616" s="8"/>
      <c r="B616" s="278"/>
      <c r="C616" s="278"/>
      <c r="D616" s="8"/>
      <c r="E616" s="278"/>
      <c r="F616" s="278"/>
      <c r="G616" s="278"/>
      <c r="H616" s="278"/>
      <c r="I616" s="278"/>
      <c r="J616" s="27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278"/>
      <c r="AE616" s="8"/>
      <c r="AF616" s="8"/>
      <c r="AG616" s="8"/>
    </row>
    <row r="617" ht="13.5" customHeight="1">
      <c r="A617" s="8"/>
      <c r="B617" s="278"/>
      <c r="C617" s="278"/>
      <c r="D617" s="8"/>
      <c r="E617" s="278"/>
      <c r="F617" s="278"/>
      <c r="G617" s="278"/>
      <c r="H617" s="278"/>
      <c r="I617" s="278"/>
      <c r="J617" s="27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278"/>
      <c r="AE617" s="8"/>
      <c r="AF617" s="8"/>
      <c r="AG617" s="8"/>
    </row>
    <row r="618" ht="13.5" customHeight="1">
      <c r="A618" s="8"/>
      <c r="B618" s="278"/>
      <c r="C618" s="278"/>
      <c r="D618" s="8"/>
      <c r="E618" s="278"/>
      <c r="F618" s="278"/>
      <c r="G618" s="278"/>
      <c r="H618" s="278"/>
      <c r="I618" s="278"/>
      <c r="J618" s="27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278"/>
      <c r="AE618" s="8"/>
      <c r="AF618" s="8"/>
      <c r="AG618" s="8"/>
    </row>
    <row r="619" ht="13.5" customHeight="1">
      <c r="A619" s="8"/>
      <c r="B619" s="278"/>
      <c r="C619" s="278"/>
      <c r="D619" s="8"/>
      <c r="E619" s="278"/>
      <c r="F619" s="278"/>
      <c r="G619" s="278"/>
      <c r="H619" s="278"/>
      <c r="I619" s="278"/>
      <c r="J619" s="27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278"/>
      <c r="AE619" s="8"/>
      <c r="AF619" s="8"/>
      <c r="AG619" s="8"/>
    </row>
    <row r="620" ht="13.5" customHeight="1">
      <c r="A620" s="8"/>
      <c r="B620" s="278"/>
      <c r="C620" s="278"/>
      <c r="D620" s="8"/>
      <c r="E620" s="278"/>
      <c r="F620" s="278"/>
      <c r="G620" s="278"/>
      <c r="H620" s="278"/>
      <c r="I620" s="278"/>
      <c r="J620" s="27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278"/>
      <c r="AE620" s="8"/>
      <c r="AF620" s="8"/>
      <c r="AG620" s="8"/>
    </row>
    <row r="621" ht="13.5" customHeight="1">
      <c r="A621" s="8"/>
      <c r="B621" s="278"/>
      <c r="C621" s="278"/>
      <c r="D621" s="8"/>
      <c r="E621" s="278"/>
      <c r="F621" s="278"/>
      <c r="G621" s="278"/>
      <c r="H621" s="278"/>
      <c r="I621" s="278"/>
      <c r="J621" s="27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278"/>
      <c r="AE621" s="8"/>
      <c r="AF621" s="8"/>
      <c r="AG621" s="8"/>
    </row>
    <row r="622" ht="13.5" customHeight="1">
      <c r="A622" s="8"/>
      <c r="B622" s="278"/>
      <c r="C622" s="278"/>
      <c r="D622" s="8"/>
      <c r="E622" s="278"/>
      <c r="F622" s="278"/>
      <c r="G622" s="278"/>
      <c r="H622" s="278"/>
      <c r="I622" s="278"/>
      <c r="J622" s="27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278"/>
      <c r="AE622" s="8"/>
      <c r="AF622" s="8"/>
      <c r="AG622" s="8"/>
    </row>
    <row r="623" ht="13.5" customHeight="1">
      <c r="A623" s="8"/>
      <c r="B623" s="278"/>
      <c r="C623" s="278"/>
      <c r="D623" s="8"/>
      <c r="E623" s="278"/>
      <c r="F623" s="278"/>
      <c r="G623" s="278"/>
      <c r="H623" s="278"/>
      <c r="I623" s="278"/>
      <c r="J623" s="27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278"/>
      <c r="AE623" s="8"/>
      <c r="AF623" s="8"/>
      <c r="AG623" s="8"/>
    </row>
    <row r="624" ht="13.5" customHeight="1">
      <c r="A624" s="8"/>
      <c r="B624" s="278"/>
      <c r="C624" s="278"/>
      <c r="D624" s="8"/>
      <c r="E624" s="278"/>
      <c r="F624" s="278"/>
      <c r="G624" s="278"/>
      <c r="H624" s="278"/>
      <c r="I624" s="278"/>
      <c r="J624" s="27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278"/>
      <c r="AE624" s="8"/>
      <c r="AF624" s="8"/>
      <c r="AG624" s="8"/>
    </row>
    <row r="625" ht="13.5" customHeight="1">
      <c r="A625" s="8"/>
      <c r="B625" s="278"/>
      <c r="C625" s="278"/>
      <c r="D625" s="8"/>
      <c r="E625" s="278"/>
      <c r="F625" s="278"/>
      <c r="G625" s="278"/>
      <c r="H625" s="278"/>
      <c r="I625" s="278"/>
      <c r="J625" s="27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278"/>
      <c r="AE625" s="8"/>
      <c r="AF625" s="8"/>
      <c r="AG625" s="8"/>
    </row>
    <row r="626" ht="13.5" customHeight="1">
      <c r="A626" s="8"/>
      <c r="B626" s="278"/>
      <c r="C626" s="278"/>
      <c r="D626" s="8"/>
      <c r="E626" s="278"/>
      <c r="F626" s="278"/>
      <c r="G626" s="278"/>
      <c r="H626" s="278"/>
      <c r="I626" s="278"/>
      <c r="J626" s="27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278"/>
      <c r="AE626" s="8"/>
      <c r="AF626" s="8"/>
      <c r="AG626" s="8"/>
    </row>
    <row r="627" ht="13.5" customHeight="1">
      <c r="A627" s="8"/>
      <c r="B627" s="278"/>
      <c r="C627" s="278"/>
      <c r="D627" s="8"/>
      <c r="E627" s="278"/>
      <c r="F627" s="278"/>
      <c r="G627" s="278"/>
      <c r="H627" s="278"/>
      <c r="I627" s="278"/>
      <c r="J627" s="27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278"/>
      <c r="AE627" s="8"/>
      <c r="AF627" s="8"/>
      <c r="AG627" s="8"/>
    </row>
    <row r="628" ht="13.5" customHeight="1">
      <c r="A628" s="8"/>
      <c r="B628" s="278"/>
      <c r="C628" s="278"/>
      <c r="D628" s="8"/>
      <c r="E628" s="278"/>
      <c r="F628" s="278"/>
      <c r="G628" s="278"/>
      <c r="H628" s="278"/>
      <c r="I628" s="278"/>
      <c r="J628" s="27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278"/>
      <c r="AE628" s="8"/>
      <c r="AF628" s="8"/>
      <c r="AG628" s="8"/>
    </row>
    <row r="629" ht="13.5" customHeight="1">
      <c r="A629" s="8"/>
      <c r="B629" s="278"/>
      <c r="C629" s="278"/>
      <c r="D629" s="8"/>
      <c r="E629" s="278"/>
      <c r="F629" s="278"/>
      <c r="G629" s="278"/>
      <c r="H629" s="278"/>
      <c r="I629" s="278"/>
      <c r="J629" s="27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278"/>
      <c r="AE629" s="8"/>
      <c r="AF629" s="8"/>
      <c r="AG629" s="8"/>
    </row>
    <row r="630" ht="13.5" customHeight="1">
      <c r="A630" s="8"/>
      <c r="B630" s="278"/>
      <c r="C630" s="278"/>
      <c r="D630" s="8"/>
      <c r="E630" s="278"/>
      <c r="F630" s="278"/>
      <c r="G630" s="278"/>
      <c r="H630" s="278"/>
      <c r="I630" s="278"/>
      <c r="J630" s="27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278"/>
      <c r="AE630" s="8"/>
      <c r="AF630" s="8"/>
      <c r="AG630" s="8"/>
    </row>
    <row r="631" ht="13.5" customHeight="1">
      <c r="A631" s="8"/>
      <c r="B631" s="278"/>
      <c r="C631" s="278"/>
      <c r="D631" s="8"/>
      <c r="E631" s="278"/>
      <c r="F631" s="278"/>
      <c r="G631" s="278"/>
      <c r="H631" s="278"/>
      <c r="I631" s="278"/>
      <c r="J631" s="27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278"/>
      <c r="AE631" s="8"/>
      <c r="AF631" s="8"/>
      <c r="AG631" s="8"/>
    </row>
    <row r="632" ht="13.5" customHeight="1">
      <c r="A632" s="8"/>
      <c r="B632" s="278"/>
      <c r="C632" s="278"/>
      <c r="D632" s="8"/>
      <c r="E632" s="278"/>
      <c r="F632" s="278"/>
      <c r="G632" s="278"/>
      <c r="H632" s="278"/>
      <c r="I632" s="278"/>
      <c r="J632" s="27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278"/>
      <c r="AE632" s="8"/>
      <c r="AF632" s="8"/>
      <c r="AG632" s="8"/>
    </row>
    <row r="633" ht="13.5" customHeight="1">
      <c r="A633" s="8"/>
      <c r="B633" s="278"/>
      <c r="C633" s="278"/>
      <c r="D633" s="8"/>
      <c r="E633" s="278"/>
      <c r="F633" s="278"/>
      <c r="G633" s="278"/>
      <c r="H633" s="278"/>
      <c r="I633" s="278"/>
      <c r="J633" s="27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278"/>
      <c r="AE633" s="8"/>
      <c r="AF633" s="8"/>
      <c r="AG633" s="8"/>
    </row>
    <row r="634" ht="13.5" customHeight="1">
      <c r="A634" s="8"/>
      <c r="B634" s="278"/>
      <c r="C634" s="278"/>
      <c r="D634" s="8"/>
      <c r="E634" s="278"/>
      <c r="F634" s="278"/>
      <c r="G634" s="278"/>
      <c r="H634" s="278"/>
      <c r="I634" s="278"/>
      <c r="J634" s="27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278"/>
      <c r="AE634" s="8"/>
      <c r="AF634" s="8"/>
      <c r="AG634" s="8"/>
    </row>
    <row r="635" ht="13.5" customHeight="1">
      <c r="A635" s="8"/>
      <c r="B635" s="278"/>
      <c r="C635" s="278"/>
      <c r="D635" s="8"/>
      <c r="E635" s="278"/>
      <c r="F635" s="278"/>
      <c r="G635" s="278"/>
      <c r="H635" s="278"/>
      <c r="I635" s="278"/>
      <c r="J635" s="27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278"/>
      <c r="AE635" s="8"/>
      <c r="AF635" s="8"/>
      <c r="AG635" s="8"/>
    </row>
    <row r="636" ht="13.5" customHeight="1">
      <c r="A636" s="8"/>
      <c r="B636" s="278"/>
      <c r="C636" s="278"/>
      <c r="D636" s="8"/>
      <c r="E636" s="278"/>
      <c r="F636" s="278"/>
      <c r="G636" s="278"/>
      <c r="H636" s="278"/>
      <c r="I636" s="278"/>
      <c r="J636" s="27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278"/>
      <c r="AE636" s="8"/>
      <c r="AF636" s="8"/>
      <c r="AG636" s="8"/>
    </row>
    <row r="637" ht="13.5" customHeight="1">
      <c r="A637" s="8"/>
      <c r="B637" s="278"/>
      <c r="C637" s="278"/>
      <c r="D637" s="8"/>
      <c r="E637" s="278"/>
      <c r="F637" s="278"/>
      <c r="G637" s="278"/>
      <c r="H637" s="278"/>
      <c r="I637" s="278"/>
      <c r="J637" s="27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278"/>
      <c r="AE637" s="8"/>
      <c r="AF637" s="8"/>
      <c r="AG637" s="8"/>
    </row>
    <row r="638" ht="13.5" customHeight="1">
      <c r="A638" s="8"/>
      <c r="B638" s="278"/>
      <c r="C638" s="278"/>
      <c r="D638" s="8"/>
      <c r="E638" s="278"/>
      <c r="F638" s="278"/>
      <c r="G638" s="278"/>
      <c r="H638" s="278"/>
      <c r="I638" s="278"/>
      <c r="J638" s="27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278"/>
      <c r="AE638" s="8"/>
      <c r="AF638" s="8"/>
      <c r="AG638" s="8"/>
    </row>
    <row r="639" ht="13.5" customHeight="1">
      <c r="A639" s="8"/>
      <c r="B639" s="278"/>
      <c r="C639" s="278"/>
      <c r="D639" s="8"/>
      <c r="E639" s="278"/>
      <c r="F639" s="278"/>
      <c r="G639" s="278"/>
      <c r="H639" s="278"/>
      <c r="I639" s="278"/>
      <c r="J639" s="27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278"/>
      <c r="AE639" s="8"/>
      <c r="AF639" s="8"/>
      <c r="AG639" s="8"/>
    </row>
    <row r="640" ht="13.5" customHeight="1">
      <c r="A640" s="8"/>
      <c r="B640" s="278"/>
      <c r="C640" s="278"/>
      <c r="D640" s="8"/>
      <c r="E640" s="278"/>
      <c r="F640" s="278"/>
      <c r="G640" s="278"/>
      <c r="H640" s="278"/>
      <c r="I640" s="278"/>
      <c r="J640" s="27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278"/>
      <c r="AE640" s="8"/>
      <c r="AF640" s="8"/>
      <c r="AG640" s="8"/>
    </row>
    <row r="641" ht="13.5" customHeight="1">
      <c r="A641" s="8"/>
      <c r="B641" s="278"/>
      <c r="C641" s="278"/>
      <c r="D641" s="8"/>
      <c r="E641" s="278"/>
      <c r="F641" s="278"/>
      <c r="G641" s="278"/>
      <c r="H641" s="278"/>
      <c r="I641" s="278"/>
      <c r="J641" s="27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278"/>
      <c r="AE641" s="8"/>
      <c r="AF641" s="8"/>
      <c r="AG641" s="8"/>
    </row>
    <row r="642" ht="13.5" customHeight="1">
      <c r="A642" s="8"/>
      <c r="B642" s="278"/>
      <c r="C642" s="278"/>
      <c r="D642" s="8"/>
      <c r="E642" s="278"/>
      <c r="F642" s="278"/>
      <c r="G642" s="278"/>
      <c r="H642" s="278"/>
      <c r="I642" s="278"/>
      <c r="J642" s="27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278"/>
      <c r="AE642" s="8"/>
      <c r="AF642" s="8"/>
      <c r="AG642" s="8"/>
    </row>
    <row r="643" ht="13.5" customHeight="1">
      <c r="A643" s="8"/>
      <c r="B643" s="278"/>
      <c r="C643" s="278"/>
      <c r="D643" s="8"/>
      <c r="E643" s="278"/>
      <c r="F643" s="278"/>
      <c r="G643" s="278"/>
      <c r="H643" s="278"/>
      <c r="I643" s="278"/>
      <c r="J643" s="27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278"/>
      <c r="AE643" s="8"/>
      <c r="AF643" s="8"/>
      <c r="AG643" s="8"/>
    </row>
    <row r="644" ht="13.5" customHeight="1">
      <c r="A644" s="8"/>
      <c r="B644" s="278"/>
      <c r="C644" s="278"/>
      <c r="D644" s="8"/>
      <c r="E644" s="278"/>
      <c r="F644" s="278"/>
      <c r="G644" s="278"/>
      <c r="H644" s="278"/>
      <c r="I644" s="278"/>
      <c r="J644" s="27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278"/>
      <c r="AE644" s="8"/>
      <c r="AF644" s="8"/>
      <c r="AG644" s="8"/>
    </row>
    <row r="645" ht="13.5" customHeight="1">
      <c r="A645" s="8"/>
      <c r="B645" s="278"/>
      <c r="C645" s="278"/>
      <c r="D645" s="8"/>
      <c r="E645" s="278"/>
      <c r="F645" s="278"/>
      <c r="G645" s="278"/>
      <c r="H645" s="278"/>
      <c r="I645" s="278"/>
      <c r="J645" s="27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278"/>
      <c r="AE645" s="8"/>
      <c r="AF645" s="8"/>
      <c r="AG645" s="8"/>
    </row>
    <row r="646" ht="13.5" customHeight="1">
      <c r="A646" s="8"/>
      <c r="B646" s="278"/>
      <c r="C646" s="278"/>
      <c r="D646" s="8"/>
      <c r="E646" s="278"/>
      <c r="F646" s="278"/>
      <c r="G646" s="278"/>
      <c r="H646" s="278"/>
      <c r="I646" s="278"/>
      <c r="J646" s="27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278"/>
      <c r="AE646" s="8"/>
      <c r="AF646" s="8"/>
      <c r="AG646" s="8"/>
    </row>
    <row r="647" ht="13.5" customHeight="1">
      <c r="A647" s="8"/>
      <c r="B647" s="278"/>
      <c r="C647" s="278"/>
      <c r="D647" s="8"/>
      <c r="E647" s="278"/>
      <c r="F647" s="278"/>
      <c r="G647" s="278"/>
      <c r="H647" s="278"/>
      <c r="I647" s="278"/>
      <c r="J647" s="27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278"/>
      <c r="AE647" s="8"/>
      <c r="AF647" s="8"/>
      <c r="AG647" s="8"/>
    </row>
    <row r="648" ht="13.5" customHeight="1">
      <c r="A648" s="8"/>
      <c r="B648" s="278"/>
      <c r="C648" s="278"/>
      <c r="D648" s="8"/>
      <c r="E648" s="278"/>
      <c r="F648" s="278"/>
      <c r="G648" s="278"/>
      <c r="H648" s="278"/>
      <c r="I648" s="278"/>
      <c r="J648" s="27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278"/>
      <c r="AE648" s="8"/>
      <c r="AF648" s="8"/>
      <c r="AG648" s="8"/>
    </row>
    <row r="649" ht="13.5" customHeight="1">
      <c r="A649" s="8"/>
      <c r="B649" s="278"/>
      <c r="C649" s="278"/>
      <c r="D649" s="8"/>
      <c r="E649" s="278"/>
      <c r="F649" s="278"/>
      <c r="G649" s="278"/>
      <c r="H649" s="278"/>
      <c r="I649" s="278"/>
      <c r="J649" s="27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278"/>
      <c r="AE649" s="8"/>
      <c r="AF649" s="8"/>
      <c r="AG649" s="8"/>
    </row>
    <row r="650" ht="13.5" customHeight="1">
      <c r="A650" s="8"/>
      <c r="B650" s="278"/>
      <c r="C650" s="278"/>
      <c r="D650" s="8"/>
      <c r="E650" s="278"/>
      <c r="F650" s="278"/>
      <c r="G650" s="278"/>
      <c r="H650" s="278"/>
      <c r="I650" s="278"/>
      <c r="J650" s="27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278"/>
      <c r="AE650" s="8"/>
      <c r="AF650" s="8"/>
      <c r="AG650" s="8"/>
    </row>
    <row r="651" ht="13.5" customHeight="1">
      <c r="A651" s="8"/>
      <c r="B651" s="278"/>
      <c r="C651" s="278"/>
      <c r="D651" s="8"/>
      <c r="E651" s="278"/>
      <c r="F651" s="278"/>
      <c r="G651" s="278"/>
      <c r="H651" s="278"/>
      <c r="I651" s="278"/>
      <c r="J651" s="27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278"/>
      <c r="AE651" s="8"/>
      <c r="AF651" s="8"/>
      <c r="AG651" s="8"/>
    </row>
    <row r="652" ht="13.5" customHeight="1">
      <c r="A652" s="8"/>
      <c r="B652" s="278"/>
      <c r="C652" s="278"/>
      <c r="D652" s="8"/>
      <c r="E652" s="278"/>
      <c r="F652" s="278"/>
      <c r="G652" s="278"/>
      <c r="H652" s="278"/>
      <c r="I652" s="278"/>
      <c r="J652" s="27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278"/>
      <c r="AE652" s="8"/>
      <c r="AF652" s="8"/>
      <c r="AG652" s="8"/>
    </row>
    <row r="653" ht="13.5" customHeight="1">
      <c r="A653" s="8"/>
      <c r="B653" s="278"/>
      <c r="C653" s="278"/>
      <c r="D653" s="8"/>
      <c r="E653" s="278"/>
      <c r="F653" s="278"/>
      <c r="G653" s="278"/>
      <c r="H653" s="278"/>
      <c r="I653" s="278"/>
      <c r="J653" s="27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278"/>
      <c r="AE653" s="8"/>
      <c r="AF653" s="8"/>
      <c r="AG653" s="8"/>
    </row>
    <row r="654" ht="13.5" customHeight="1">
      <c r="A654" s="8"/>
      <c r="B654" s="278"/>
      <c r="C654" s="278"/>
      <c r="D654" s="8"/>
      <c r="E654" s="278"/>
      <c r="F654" s="278"/>
      <c r="G654" s="278"/>
      <c r="H654" s="278"/>
      <c r="I654" s="278"/>
      <c r="J654" s="27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278"/>
      <c r="AE654" s="8"/>
      <c r="AF654" s="8"/>
      <c r="AG654" s="8"/>
    </row>
    <row r="655" ht="13.5" customHeight="1">
      <c r="A655" s="8"/>
      <c r="B655" s="278"/>
      <c r="C655" s="278"/>
      <c r="D655" s="8"/>
      <c r="E655" s="278"/>
      <c r="F655" s="278"/>
      <c r="G655" s="278"/>
      <c r="H655" s="278"/>
      <c r="I655" s="278"/>
      <c r="J655" s="27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278"/>
      <c r="AE655" s="8"/>
      <c r="AF655" s="8"/>
      <c r="AG655" s="8"/>
    </row>
    <row r="656" ht="13.5" customHeight="1">
      <c r="A656" s="8"/>
      <c r="B656" s="278"/>
      <c r="C656" s="278"/>
      <c r="D656" s="8"/>
      <c r="E656" s="278"/>
      <c r="F656" s="278"/>
      <c r="G656" s="278"/>
      <c r="H656" s="278"/>
      <c r="I656" s="278"/>
      <c r="J656" s="27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278"/>
      <c r="AE656" s="8"/>
      <c r="AF656" s="8"/>
      <c r="AG656" s="8"/>
    </row>
    <row r="657" ht="13.5" customHeight="1">
      <c r="A657" s="8"/>
      <c r="B657" s="278"/>
      <c r="C657" s="278"/>
      <c r="D657" s="8"/>
      <c r="E657" s="278"/>
      <c r="F657" s="278"/>
      <c r="G657" s="278"/>
      <c r="H657" s="278"/>
      <c r="I657" s="278"/>
      <c r="J657" s="27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278"/>
      <c r="AE657" s="8"/>
      <c r="AF657" s="8"/>
      <c r="AG657" s="8"/>
    </row>
    <row r="658" ht="13.5" customHeight="1">
      <c r="A658" s="8"/>
      <c r="B658" s="278"/>
      <c r="C658" s="278"/>
      <c r="D658" s="8"/>
      <c r="E658" s="278"/>
      <c r="F658" s="278"/>
      <c r="G658" s="278"/>
      <c r="H658" s="278"/>
      <c r="I658" s="278"/>
      <c r="J658" s="27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278"/>
      <c r="AE658" s="8"/>
      <c r="AF658" s="8"/>
      <c r="AG658" s="8"/>
    </row>
    <row r="659" ht="13.5" customHeight="1">
      <c r="A659" s="8"/>
      <c r="B659" s="278"/>
      <c r="C659" s="278"/>
      <c r="D659" s="8"/>
      <c r="E659" s="278"/>
      <c r="F659" s="278"/>
      <c r="G659" s="278"/>
      <c r="H659" s="278"/>
      <c r="I659" s="278"/>
      <c r="J659" s="27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278"/>
      <c r="AE659" s="8"/>
      <c r="AF659" s="8"/>
      <c r="AG659" s="8"/>
    </row>
    <row r="660" ht="13.5" customHeight="1">
      <c r="A660" s="8"/>
      <c r="B660" s="278"/>
      <c r="C660" s="278"/>
      <c r="D660" s="8"/>
      <c r="E660" s="278"/>
      <c r="F660" s="278"/>
      <c r="G660" s="278"/>
      <c r="H660" s="278"/>
      <c r="I660" s="278"/>
      <c r="J660" s="27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278"/>
      <c r="AE660" s="8"/>
      <c r="AF660" s="8"/>
      <c r="AG660" s="8"/>
    </row>
    <row r="661" ht="13.5" customHeight="1">
      <c r="A661" s="8"/>
      <c r="B661" s="278"/>
      <c r="C661" s="278"/>
      <c r="D661" s="8"/>
      <c r="E661" s="278"/>
      <c r="F661" s="278"/>
      <c r="G661" s="278"/>
      <c r="H661" s="278"/>
      <c r="I661" s="278"/>
      <c r="J661" s="27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278"/>
      <c r="AE661" s="8"/>
      <c r="AF661" s="8"/>
      <c r="AG661" s="8"/>
    </row>
    <row r="662" ht="13.5" customHeight="1">
      <c r="A662" s="8"/>
      <c r="B662" s="278"/>
      <c r="C662" s="278"/>
      <c r="D662" s="8"/>
      <c r="E662" s="278"/>
      <c r="F662" s="278"/>
      <c r="G662" s="278"/>
      <c r="H662" s="278"/>
      <c r="I662" s="278"/>
      <c r="J662" s="27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278"/>
      <c r="AE662" s="8"/>
      <c r="AF662" s="8"/>
      <c r="AG662" s="8"/>
    </row>
    <row r="663" ht="13.5" customHeight="1">
      <c r="A663" s="8"/>
      <c r="B663" s="278"/>
      <c r="C663" s="278"/>
      <c r="D663" s="8"/>
      <c r="E663" s="278"/>
      <c r="F663" s="278"/>
      <c r="G663" s="278"/>
      <c r="H663" s="278"/>
      <c r="I663" s="278"/>
      <c r="J663" s="27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278"/>
      <c r="AE663" s="8"/>
      <c r="AF663" s="8"/>
      <c r="AG663" s="8"/>
    </row>
    <row r="664" ht="13.5" customHeight="1">
      <c r="A664" s="8"/>
      <c r="B664" s="278"/>
      <c r="C664" s="278"/>
      <c r="D664" s="8"/>
      <c r="E664" s="278"/>
      <c r="F664" s="278"/>
      <c r="G664" s="278"/>
      <c r="H664" s="278"/>
      <c r="I664" s="278"/>
      <c r="J664" s="27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278"/>
      <c r="AE664" s="8"/>
      <c r="AF664" s="8"/>
      <c r="AG664" s="8"/>
    </row>
    <row r="665" ht="13.5" customHeight="1">
      <c r="A665" s="8"/>
      <c r="B665" s="278"/>
      <c r="C665" s="278"/>
      <c r="D665" s="8"/>
      <c r="E665" s="278"/>
      <c r="F665" s="278"/>
      <c r="G665" s="278"/>
      <c r="H665" s="278"/>
      <c r="I665" s="278"/>
      <c r="J665" s="27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278"/>
      <c r="AE665" s="8"/>
      <c r="AF665" s="8"/>
      <c r="AG665" s="8"/>
    </row>
    <row r="666" ht="13.5" customHeight="1">
      <c r="A666" s="8"/>
      <c r="B666" s="278"/>
      <c r="C666" s="278"/>
      <c r="D666" s="8"/>
      <c r="E666" s="278"/>
      <c r="F666" s="278"/>
      <c r="G666" s="278"/>
      <c r="H666" s="278"/>
      <c r="I666" s="278"/>
      <c r="J666" s="27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278"/>
      <c r="AE666" s="8"/>
      <c r="AF666" s="8"/>
      <c r="AG666" s="8"/>
    </row>
    <row r="667" ht="13.5" customHeight="1">
      <c r="A667" s="8"/>
      <c r="B667" s="278"/>
      <c r="C667" s="278"/>
      <c r="D667" s="8"/>
      <c r="E667" s="278"/>
      <c r="F667" s="278"/>
      <c r="G667" s="278"/>
      <c r="H667" s="278"/>
      <c r="I667" s="278"/>
      <c r="J667" s="27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278"/>
      <c r="AE667" s="8"/>
      <c r="AF667" s="8"/>
      <c r="AG667" s="8"/>
    </row>
    <row r="668" ht="13.5" customHeight="1">
      <c r="A668" s="8"/>
      <c r="B668" s="278"/>
      <c r="C668" s="278"/>
      <c r="D668" s="8"/>
      <c r="E668" s="278"/>
      <c r="F668" s="278"/>
      <c r="G668" s="278"/>
      <c r="H668" s="278"/>
      <c r="I668" s="278"/>
      <c r="J668" s="27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278"/>
      <c r="AE668" s="8"/>
      <c r="AF668" s="8"/>
      <c r="AG668" s="8"/>
    </row>
    <row r="669" ht="13.5" customHeight="1">
      <c r="A669" s="8"/>
      <c r="B669" s="278"/>
      <c r="C669" s="278"/>
      <c r="D669" s="8"/>
      <c r="E669" s="278"/>
      <c r="F669" s="278"/>
      <c r="G669" s="278"/>
      <c r="H669" s="278"/>
      <c r="I669" s="278"/>
      <c r="J669" s="27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278"/>
      <c r="AE669" s="8"/>
      <c r="AF669" s="8"/>
      <c r="AG669" s="8"/>
    </row>
    <row r="670" ht="13.5" customHeight="1">
      <c r="A670" s="8"/>
      <c r="B670" s="278"/>
      <c r="C670" s="278"/>
      <c r="D670" s="8"/>
      <c r="E670" s="278"/>
      <c r="F670" s="278"/>
      <c r="G670" s="278"/>
      <c r="H670" s="278"/>
      <c r="I670" s="278"/>
      <c r="J670" s="27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278"/>
      <c r="AE670" s="8"/>
      <c r="AF670" s="8"/>
      <c r="AG670" s="8"/>
    </row>
    <row r="671" ht="13.5" customHeight="1">
      <c r="A671" s="8"/>
      <c r="B671" s="278"/>
      <c r="C671" s="278"/>
      <c r="D671" s="8"/>
      <c r="E671" s="278"/>
      <c r="F671" s="278"/>
      <c r="G671" s="278"/>
      <c r="H671" s="278"/>
      <c r="I671" s="278"/>
      <c r="J671" s="27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278"/>
      <c r="AE671" s="8"/>
      <c r="AF671" s="8"/>
      <c r="AG671" s="8"/>
    </row>
    <row r="672" ht="13.5" customHeight="1">
      <c r="A672" s="8"/>
      <c r="B672" s="278"/>
      <c r="C672" s="278"/>
      <c r="D672" s="8"/>
      <c r="E672" s="278"/>
      <c r="F672" s="278"/>
      <c r="G672" s="278"/>
      <c r="H672" s="278"/>
      <c r="I672" s="278"/>
      <c r="J672" s="27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278"/>
      <c r="AE672" s="8"/>
      <c r="AF672" s="8"/>
      <c r="AG672" s="8"/>
    </row>
    <row r="673" ht="13.5" customHeight="1">
      <c r="A673" s="8"/>
      <c r="B673" s="278"/>
      <c r="C673" s="278"/>
      <c r="D673" s="8"/>
      <c r="E673" s="278"/>
      <c r="F673" s="278"/>
      <c r="G673" s="278"/>
      <c r="H673" s="278"/>
      <c r="I673" s="278"/>
      <c r="J673" s="27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278"/>
      <c r="AE673" s="8"/>
      <c r="AF673" s="8"/>
      <c r="AG673" s="8"/>
    </row>
    <row r="674" ht="13.5" customHeight="1">
      <c r="A674" s="8"/>
      <c r="B674" s="278"/>
      <c r="C674" s="278"/>
      <c r="D674" s="8"/>
      <c r="E674" s="278"/>
      <c r="F674" s="278"/>
      <c r="G674" s="278"/>
      <c r="H674" s="278"/>
      <c r="I674" s="278"/>
      <c r="J674" s="27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278"/>
      <c r="AE674" s="8"/>
      <c r="AF674" s="8"/>
      <c r="AG674" s="8"/>
    </row>
    <row r="675" ht="13.5" customHeight="1">
      <c r="A675" s="8"/>
      <c r="B675" s="278"/>
      <c r="C675" s="278"/>
      <c r="D675" s="8"/>
      <c r="E675" s="278"/>
      <c r="F675" s="278"/>
      <c r="G675" s="278"/>
      <c r="H675" s="278"/>
      <c r="I675" s="278"/>
      <c r="J675" s="27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278"/>
      <c r="AE675" s="8"/>
      <c r="AF675" s="8"/>
      <c r="AG675" s="8"/>
    </row>
    <row r="676" ht="13.5" customHeight="1">
      <c r="A676" s="8"/>
      <c r="B676" s="278"/>
      <c r="C676" s="278"/>
      <c r="D676" s="8"/>
      <c r="E676" s="278"/>
      <c r="F676" s="278"/>
      <c r="G676" s="278"/>
      <c r="H676" s="278"/>
      <c r="I676" s="278"/>
      <c r="J676" s="27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278"/>
      <c r="AE676" s="8"/>
      <c r="AF676" s="8"/>
      <c r="AG676" s="8"/>
    </row>
    <row r="677" ht="13.5" customHeight="1">
      <c r="A677" s="8"/>
      <c r="B677" s="278"/>
      <c r="C677" s="278"/>
      <c r="D677" s="8"/>
      <c r="E677" s="278"/>
      <c r="F677" s="278"/>
      <c r="G677" s="278"/>
      <c r="H677" s="278"/>
      <c r="I677" s="278"/>
      <c r="J677" s="27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278"/>
      <c r="AE677" s="8"/>
      <c r="AF677" s="8"/>
      <c r="AG677" s="8"/>
    </row>
    <row r="678" ht="13.5" customHeight="1">
      <c r="A678" s="8"/>
      <c r="B678" s="278"/>
      <c r="C678" s="278"/>
      <c r="D678" s="8"/>
      <c r="E678" s="278"/>
      <c r="F678" s="278"/>
      <c r="G678" s="278"/>
      <c r="H678" s="278"/>
      <c r="I678" s="278"/>
      <c r="J678" s="27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278"/>
      <c r="AE678" s="8"/>
      <c r="AF678" s="8"/>
      <c r="AG678" s="8"/>
    </row>
    <row r="679" ht="13.5" customHeight="1">
      <c r="A679" s="8"/>
      <c r="B679" s="278"/>
      <c r="C679" s="278"/>
      <c r="D679" s="8"/>
      <c r="E679" s="278"/>
      <c r="F679" s="278"/>
      <c r="G679" s="278"/>
      <c r="H679" s="278"/>
      <c r="I679" s="278"/>
      <c r="J679" s="27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278"/>
      <c r="AE679" s="8"/>
      <c r="AF679" s="8"/>
      <c r="AG679" s="8"/>
    </row>
    <row r="680" ht="13.5" customHeight="1">
      <c r="A680" s="8"/>
      <c r="B680" s="278"/>
      <c r="C680" s="278"/>
      <c r="D680" s="8"/>
      <c r="E680" s="278"/>
      <c r="F680" s="278"/>
      <c r="G680" s="278"/>
      <c r="H680" s="278"/>
      <c r="I680" s="278"/>
      <c r="J680" s="27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278"/>
      <c r="AE680" s="8"/>
      <c r="AF680" s="8"/>
      <c r="AG680" s="8"/>
    </row>
    <row r="681" ht="13.5" customHeight="1">
      <c r="A681" s="8"/>
      <c r="B681" s="278"/>
      <c r="C681" s="278"/>
      <c r="D681" s="8"/>
      <c r="E681" s="278"/>
      <c r="F681" s="278"/>
      <c r="G681" s="278"/>
      <c r="H681" s="278"/>
      <c r="I681" s="278"/>
      <c r="J681" s="27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278"/>
      <c r="AE681" s="8"/>
      <c r="AF681" s="8"/>
      <c r="AG681" s="8"/>
    </row>
    <row r="682" ht="13.5" customHeight="1">
      <c r="A682" s="8"/>
      <c r="B682" s="278"/>
      <c r="C682" s="278"/>
      <c r="D682" s="8"/>
      <c r="E682" s="278"/>
      <c r="F682" s="278"/>
      <c r="G682" s="278"/>
      <c r="H682" s="278"/>
      <c r="I682" s="278"/>
      <c r="J682" s="27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278"/>
      <c r="AE682" s="8"/>
      <c r="AF682" s="8"/>
      <c r="AG682" s="8"/>
    </row>
    <row r="683" ht="13.5" customHeight="1">
      <c r="A683" s="8"/>
      <c r="B683" s="278"/>
      <c r="C683" s="278"/>
      <c r="D683" s="8"/>
      <c r="E683" s="278"/>
      <c r="F683" s="278"/>
      <c r="G683" s="278"/>
      <c r="H683" s="278"/>
      <c r="I683" s="278"/>
      <c r="J683" s="27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278"/>
      <c r="AE683" s="8"/>
      <c r="AF683" s="8"/>
      <c r="AG683" s="8"/>
    </row>
    <row r="684" ht="13.5" customHeight="1">
      <c r="A684" s="8"/>
      <c r="B684" s="278"/>
      <c r="C684" s="278"/>
      <c r="D684" s="8"/>
      <c r="E684" s="278"/>
      <c r="F684" s="278"/>
      <c r="G684" s="278"/>
      <c r="H684" s="278"/>
      <c r="I684" s="278"/>
      <c r="J684" s="27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278"/>
      <c r="AE684" s="8"/>
      <c r="AF684" s="8"/>
      <c r="AG684" s="8"/>
    </row>
    <row r="685" ht="13.5" customHeight="1">
      <c r="A685" s="8"/>
      <c r="B685" s="278"/>
      <c r="C685" s="278"/>
      <c r="D685" s="8"/>
      <c r="E685" s="278"/>
      <c r="F685" s="278"/>
      <c r="G685" s="278"/>
      <c r="H685" s="278"/>
      <c r="I685" s="278"/>
      <c r="J685" s="27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278"/>
      <c r="AE685" s="8"/>
      <c r="AF685" s="8"/>
      <c r="AG685" s="8"/>
    </row>
    <row r="686" ht="13.5" customHeight="1">
      <c r="A686" s="8"/>
      <c r="B686" s="278"/>
      <c r="C686" s="278"/>
      <c r="D686" s="8"/>
      <c r="E686" s="278"/>
      <c r="F686" s="278"/>
      <c r="G686" s="278"/>
      <c r="H686" s="278"/>
      <c r="I686" s="278"/>
      <c r="J686" s="27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278"/>
      <c r="AE686" s="8"/>
      <c r="AF686" s="8"/>
      <c r="AG686" s="8"/>
    </row>
    <row r="687" ht="13.5" customHeight="1">
      <c r="A687" s="8"/>
      <c r="B687" s="278"/>
      <c r="C687" s="278"/>
      <c r="D687" s="8"/>
      <c r="E687" s="278"/>
      <c r="F687" s="278"/>
      <c r="G687" s="278"/>
      <c r="H687" s="278"/>
      <c r="I687" s="278"/>
      <c r="J687" s="27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278"/>
      <c r="AE687" s="8"/>
      <c r="AF687" s="8"/>
      <c r="AG687" s="8"/>
    </row>
    <row r="688" ht="13.5" customHeight="1">
      <c r="A688" s="8"/>
      <c r="B688" s="278"/>
      <c r="C688" s="278"/>
      <c r="D688" s="8"/>
      <c r="E688" s="278"/>
      <c r="F688" s="278"/>
      <c r="G688" s="278"/>
      <c r="H688" s="278"/>
      <c r="I688" s="278"/>
      <c r="J688" s="27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278"/>
      <c r="AE688" s="8"/>
      <c r="AF688" s="8"/>
      <c r="AG688" s="8"/>
    </row>
    <row r="689" ht="13.5" customHeight="1">
      <c r="A689" s="8"/>
      <c r="B689" s="278"/>
      <c r="C689" s="278"/>
      <c r="D689" s="8"/>
      <c r="E689" s="278"/>
      <c r="F689" s="278"/>
      <c r="G689" s="278"/>
      <c r="H689" s="278"/>
      <c r="I689" s="278"/>
      <c r="J689" s="27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278"/>
      <c r="AE689" s="8"/>
      <c r="AF689" s="8"/>
      <c r="AG689" s="8"/>
    </row>
    <row r="690" ht="13.5" customHeight="1">
      <c r="A690" s="8"/>
      <c r="B690" s="278"/>
      <c r="C690" s="278"/>
      <c r="D690" s="8"/>
      <c r="E690" s="278"/>
      <c r="F690" s="278"/>
      <c r="G690" s="278"/>
      <c r="H690" s="278"/>
      <c r="I690" s="278"/>
      <c r="J690" s="27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278"/>
      <c r="AE690" s="8"/>
      <c r="AF690" s="8"/>
      <c r="AG690" s="8"/>
    </row>
    <row r="691" ht="13.5" customHeight="1">
      <c r="A691" s="8"/>
      <c r="B691" s="278"/>
      <c r="C691" s="278"/>
      <c r="D691" s="8"/>
      <c r="E691" s="278"/>
      <c r="F691" s="278"/>
      <c r="G691" s="278"/>
      <c r="H691" s="278"/>
      <c r="I691" s="278"/>
      <c r="J691" s="27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278"/>
      <c r="AE691" s="8"/>
      <c r="AF691" s="8"/>
      <c r="AG691" s="8"/>
    </row>
    <row r="692" ht="13.5" customHeight="1">
      <c r="A692" s="8"/>
      <c r="B692" s="278"/>
      <c r="C692" s="278"/>
      <c r="D692" s="8"/>
      <c r="E692" s="278"/>
      <c r="F692" s="278"/>
      <c r="G692" s="278"/>
      <c r="H692" s="278"/>
      <c r="I692" s="278"/>
      <c r="J692" s="27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278"/>
      <c r="AE692" s="8"/>
      <c r="AF692" s="8"/>
      <c r="AG692" s="8"/>
    </row>
    <row r="693" ht="13.5" customHeight="1">
      <c r="A693" s="8"/>
      <c r="B693" s="278"/>
      <c r="C693" s="278"/>
      <c r="D693" s="8"/>
      <c r="E693" s="278"/>
      <c r="F693" s="278"/>
      <c r="G693" s="278"/>
      <c r="H693" s="278"/>
      <c r="I693" s="278"/>
      <c r="J693" s="27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278"/>
      <c r="AE693" s="8"/>
      <c r="AF693" s="8"/>
      <c r="AG693" s="8"/>
    </row>
    <row r="694" ht="13.5" customHeight="1">
      <c r="A694" s="8"/>
      <c r="B694" s="278"/>
      <c r="C694" s="278"/>
      <c r="D694" s="8"/>
      <c r="E694" s="278"/>
      <c r="F694" s="278"/>
      <c r="G694" s="278"/>
      <c r="H694" s="278"/>
      <c r="I694" s="278"/>
      <c r="J694" s="27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278"/>
      <c r="AE694" s="8"/>
      <c r="AF694" s="8"/>
      <c r="AG694" s="8"/>
    </row>
    <row r="695" ht="13.5" customHeight="1">
      <c r="A695" s="8"/>
      <c r="B695" s="278"/>
      <c r="C695" s="278"/>
      <c r="D695" s="8"/>
      <c r="E695" s="278"/>
      <c r="F695" s="278"/>
      <c r="G695" s="278"/>
      <c r="H695" s="278"/>
      <c r="I695" s="278"/>
      <c r="J695" s="27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278"/>
      <c r="AE695" s="8"/>
      <c r="AF695" s="8"/>
      <c r="AG695" s="8"/>
    </row>
    <row r="696" ht="13.5" customHeight="1">
      <c r="A696" s="8"/>
      <c r="B696" s="278"/>
      <c r="C696" s="278"/>
      <c r="D696" s="8"/>
      <c r="E696" s="278"/>
      <c r="F696" s="278"/>
      <c r="G696" s="278"/>
      <c r="H696" s="278"/>
      <c r="I696" s="278"/>
      <c r="J696" s="27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278"/>
      <c r="AE696" s="8"/>
      <c r="AF696" s="8"/>
      <c r="AG696" s="8"/>
    </row>
    <row r="697" ht="13.5" customHeight="1">
      <c r="A697" s="8"/>
      <c r="B697" s="278"/>
      <c r="C697" s="278"/>
      <c r="D697" s="8"/>
      <c r="E697" s="278"/>
      <c r="F697" s="278"/>
      <c r="G697" s="278"/>
      <c r="H697" s="278"/>
      <c r="I697" s="278"/>
      <c r="J697" s="27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278"/>
      <c r="AE697" s="8"/>
      <c r="AF697" s="8"/>
      <c r="AG697" s="8"/>
    </row>
    <row r="698" ht="13.5" customHeight="1">
      <c r="A698" s="8"/>
      <c r="B698" s="278"/>
      <c r="C698" s="278"/>
      <c r="D698" s="8"/>
      <c r="E698" s="278"/>
      <c r="F698" s="278"/>
      <c r="G698" s="278"/>
      <c r="H698" s="278"/>
      <c r="I698" s="278"/>
      <c r="J698" s="27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278"/>
      <c r="AE698" s="8"/>
      <c r="AF698" s="8"/>
      <c r="AG698" s="8"/>
    </row>
    <row r="699" ht="13.5" customHeight="1">
      <c r="A699" s="8"/>
      <c r="B699" s="278"/>
      <c r="C699" s="278"/>
      <c r="D699" s="8"/>
      <c r="E699" s="278"/>
      <c r="F699" s="278"/>
      <c r="G699" s="278"/>
      <c r="H699" s="278"/>
      <c r="I699" s="278"/>
      <c r="J699" s="27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278"/>
      <c r="AE699" s="8"/>
      <c r="AF699" s="8"/>
      <c r="AG699" s="8"/>
    </row>
    <row r="700" ht="13.5" customHeight="1">
      <c r="A700" s="8"/>
      <c r="B700" s="278"/>
      <c r="C700" s="278"/>
      <c r="D700" s="8"/>
      <c r="E700" s="278"/>
      <c r="F700" s="278"/>
      <c r="G700" s="278"/>
      <c r="H700" s="278"/>
      <c r="I700" s="278"/>
      <c r="J700" s="27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278"/>
      <c r="AE700" s="8"/>
      <c r="AF700" s="8"/>
      <c r="AG700" s="8"/>
    </row>
    <row r="701" ht="13.5" customHeight="1">
      <c r="A701" s="8"/>
      <c r="B701" s="278"/>
      <c r="C701" s="278"/>
      <c r="D701" s="8"/>
      <c r="E701" s="278"/>
      <c r="F701" s="278"/>
      <c r="G701" s="278"/>
      <c r="H701" s="278"/>
      <c r="I701" s="278"/>
      <c r="J701" s="27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278"/>
      <c r="AE701" s="8"/>
      <c r="AF701" s="8"/>
      <c r="AG701" s="8"/>
    </row>
    <row r="702" ht="13.5" customHeight="1">
      <c r="A702" s="8"/>
      <c r="B702" s="278"/>
      <c r="C702" s="278"/>
      <c r="D702" s="8"/>
      <c r="E702" s="278"/>
      <c r="F702" s="278"/>
      <c r="G702" s="278"/>
      <c r="H702" s="278"/>
      <c r="I702" s="278"/>
      <c r="J702" s="27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278"/>
      <c r="AE702" s="8"/>
      <c r="AF702" s="8"/>
      <c r="AG702" s="8"/>
    </row>
    <row r="703" ht="13.5" customHeight="1">
      <c r="A703" s="8"/>
      <c r="B703" s="278"/>
      <c r="C703" s="278"/>
      <c r="D703" s="8"/>
      <c r="E703" s="278"/>
      <c r="F703" s="278"/>
      <c r="G703" s="278"/>
      <c r="H703" s="278"/>
      <c r="I703" s="278"/>
      <c r="J703" s="27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278"/>
      <c r="AE703" s="8"/>
      <c r="AF703" s="8"/>
      <c r="AG703" s="8"/>
    </row>
    <row r="704" ht="13.5" customHeight="1">
      <c r="A704" s="8"/>
      <c r="B704" s="278"/>
      <c r="C704" s="278"/>
      <c r="D704" s="8"/>
      <c r="E704" s="278"/>
      <c r="F704" s="278"/>
      <c r="G704" s="278"/>
      <c r="H704" s="278"/>
      <c r="I704" s="278"/>
      <c r="J704" s="27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278"/>
      <c r="AE704" s="8"/>
      <c r="AF704" s="8"/>
      <c r="AG704" s="8"/>
    </row>
    <row r="705" ht="13.5" customHeight="1">
      <c r="A705" s="8"/>
      <c r="B705" s="278"/>
      <c r="C705" s="278"/>
      <c r="D705" s="8"/>
      <c r="E705" s="278"/>
      <c r="F705" s="278"/>
      <c r="G705" s="278"/>
      <c r="H705" s="278"/>
      <c r="I705" s="278"/>
      <c r="J705" s="27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278"/>
      <c r="AE705" s="8"/>
      <c r="AF705" s="8"/>
      <c r="AG705" s="8"/>
    </row>
    <row r="706" ht="13.5" customHeight="1">
      <c r="A706" s="8"/>
      <c r="B706" s="278"/>
      <c r="C706" s="278"/>
      <c r="D706" s="8"/>
      <c r="E706" s="278"/>
      <c r="F706" s="278"/>
      <c r="G706" s="278"/>
      <c r="H706" s="278"/>
      <c r="I706" s="278"/>
      <c r="J706" s="27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278"/>
      <c r="AE706" s="8"/>
      <c r="AF706" s="8"/>
      <c r="AG706" s="8"/>
    </row>
    <row r="707" ht="13.5" customHeight="1">
      <c r="A707" s="8"/>
      <c r="B707" s="278"/>
      <c r="C707" s="278"/>
      <c r="D707" s="8"/>
      <c r="E707" s="278"/>
      <c r="F707" s="278"/>
      <c r="G707" s="278"/>
      <c r="H707" s="278"/>
      <c r="I707" s="278"/>
      <c r="J707" s="27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278"/>
      <c r="AE707" s="8"/>
      <c r="AF707" s="8"/>
      <c r="AG707" s="8"/>
    </row>
    <row r="708" ht="13.5" customHeight="1">
      <c r="A708" s="8"/>
      <c r="B708" s="278"/>
      <c r="C708" s="278"/>
      <c r="D708" s="8"/>
      <c r="E708" s="278"/>
      <c r="F708" s="278"/>
      <c r="G708" s="278"/>
      <c r="H708" s="278"/>
      <c r="I708" s="278"/>
      <c r="J708" s="27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278"/>
      <c r="AE708" s="8"/>
      <c r="AF708" s="8"/>
      <c r="AG708" s="8"/>
    </row>
    <row r="709" ht="13.5" customHeight="1">
      <c r="A709" s="8"/>
      <c r="B709" s="278"/>
      <c r="C709" s="278"/>
      <c r="D709" s="8"/>
      <c r="E709" s="278"/>
      <c r="F709" s="278"/>
      <c r="G709" s="278"/>
      <c r="H709" s="278"/>
      <c r="I709" s="278"/>
      <c r="J709" s="27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278"/>
      <c r="AE709" s="8"/>
      <c r="AF709" s="8"/>
      <c r="AG709" s="8"/>
    </row>
    <row r="710" ht="13.5" customHeight="1">
      <c r="A710" s="8"/>
      <c r="B710" s="278"/>
      <c r="C710" s="278"/>
      <c r="D710" s="8"/>
      <c r="E710" s="278"/>
      <c r="F710" s="278"/>
      <c r="G710" s="278"/>
      <c r="H710" s="278"/>
      <c r="I710" s="278"/>
      <c r="J710" s="27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278"/>
      <c r="AE710" s="8"/>
      <c r="AF710" s="8"/>
      <c r="AG710" s="8"/>
    </row>
    <row r="711" ht="13.5" customHeight="1">
      <c r="A711" s="8"/>
      <c r="B711" s="278"/>
      <c r="C711" s="278"/>
      <c r="D711" s="8"/>
      <c r="E711" s="278"/>
      <c r="F711" s="278"/>
      <c r="G711" s="278"/>
      <c r="H711" s="278"/>
      <c r="I711" s="278"/>
      <c r="J711" s="27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278"/>
      <c r="AE711" s="8"/>
      <c r="AF711" s="8"/>
      <c r="AG711" s="8"/>
    </row>
    <row r="712" ht="13.5" customHeight="1">
      <c r="A712" s="8"/>
      <c r="B712" s="278"/>
      <c r="C712" s="278"/>
      <c r="D712" s="8"/>
      <c r="E712" s="278"/>
      <c r="F712" s="278"/>
      <c r="G712" s="278"/>
      <c r="H712" s="278"/>
      <c r="I712" s="278"/>
      <c r="J712" s="27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278"/>
      <c r="AE712" s="8"/>
      <c r="AF712" s="8"/>
      <c r="AG712" s="8"/>
    </row>
    <row r="713" ht="13.5" customHeight="1">
      <c r="A713" s="8"/>
      <c r="B713" s="278"/>
      <c r="C713" s="278"/>
      <c r="D713" s="8"/>
      <c r="E713" s="278"/>
      <c r="F713" s="278"/>
      <c r="G713" s="278"/>
      <c r="H713" s="278"/>
      <c r="I713" s="278"/>
      <c r="J713" s="27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278"/>
      <c r="AE713" s="8"/>
      <c r="AF713" s="8"/>
      <c r="AG713" s="8"/>
    </row>
    <row r="714" ht="13.5" customHeight="1">
      <c r="A714" s="8"/>
      <c r="B714" s="278"/>
      <c r="C714" s="278"/>
      <c r="D714" s="8"/>
      <c r="E714" s="278"/>
      <c r="F714" s="278"/>
      <c r="G714" s="278"/>
      <c r="H714" s="278"/>
      <c r="I714" s="278"/>
      <c r="J714" s="27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278"/>
      <c r="AE714" s="8"/>
      <c r="AF714" s="8"/>
      <c r="AG714" s="8"/>
    </row>
    <row r="715" ht="13.5" customHeight="1">
      <c r="A715" s="8"/>
      <c r="B715" s="278"/>
      <c r="C715" s="278"/>
      <c r="D715" s="8"/>
      <c r="E715" s="278"/>
      <c r="F715" s="278"/>
      <c r="G715" s="278"/>
      <c r="H715" s="278"/>
      <c r="I715" s="278"/>
      <c r="J715" s="27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278"/>
      <c r="AE715" s="8"/>
      <c r="AF715" s="8"/>
      <c r="AG715" s="8"/>
    </row>
    <row r="716" ht="13.5" customHeight="1">
      <c r="A716" s="8"/>
      <c r="B716" s="278"/>
      <c r="C716" s="278"/>
      <c r="D716" s="8"/>
      <c r="E716" s="278"/>
      <c r="F716" s="278"/>
      <c r="G716" s="278"/>
      <c r="H716" s="278"/>
      <c r="I716" s="278"/>
      <c r="J716" s="27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278"/>
      <c r="AE716" s="8"/>
      <c r="AF716" s="8"/>
      <c r="AG716" s="8"/>
    </row>
    <row r="717" ht="13.5" customHeight="1">
      <c r="A717" s="8"/>
      <c r="B717" s="278"/>
      <c r="C717" s="278"/>
      <c r="D717" s="8"/>
      <c r="E717" s="278"/>
      <c r="F717" s="278"/>
      <c r="G717" s="278"/>
      <c r="H717" s="278"/>
      <c r="I717" s="278"/>
      <c r="J717" s="27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278"/>
      <c r="AE717" s="8"/>
      <c r="AF717" s="8"/>
      <c r="AG717" s="8"/>
    </row>
    <row r="718" ht="13.5" customHeight="1">
      <c r="A718" s="8"/>
      <c r="B718" s="278"/>
      <c r="C718" s="278"/>
      <c r="D718" s="8"/>
      <c r="E718" s="278"/>
      <c r="F718" s="278"/>
      <c r="G718" s="278"/>
      <c r="H718" s="278"/>
      <c r="I718" s="278"/>
      <c r="J718" s="27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278"/>
      <c r="AE718" s="8"/>
      <c r="AF718" s="8"/>
      <c r="AG718" s="8"/>
    </row>
    <row r="719" ht="13.5" customHeight="1">
      <c r="A719" s="8"/>
      <c r="B719" s="278"/>
      <c r="C719" s="278"/>
      <c r="D719" s="8"/>
      <c r="E719" s="278"/>
      <c r="F719" s="278"/>
      <c r="G719" s="278"/>
      <c r="H719" s="278"/>
      <c r="I719" s="278"/>
      <c r="J719" s="27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278"/>
      <c r="AE719" s="8"/>
      <c r="AF719" s="8"/>
      <c r="AG719" s="8"/>
    </row>
    <row r="720" ht="13.5" customHeight="1">
      <c r="A720" s="8"/>
      <c r="B720" s="278"/>
      <c r="C720" s="278"/>
      <c r="D720" s="8"/>
      <c r="E720" s="278"/>
      <c r="F720" s="278"/>
      <c r="G720" s="278"/>
      <c r="H720" s="278"/>
      <c r="I720" s="278"/>
      <c r="J720" s="27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278"/>
      <c r="AE720" s="8"/>
      <c r="AF720" s="8"/>
      <c r="AG720" s="8"/>
    </row>
    <row r="721" ht="13.5" customHeight="1">
      <c r="A721" s="8"/>
      <c r="B721" s="278"/>
      <c r="C721" s="278"/>
      <c r="D721" s="8"/>
      <c r="E721" s="278"/>
      <c r="F721" s="278"/>
      <c r="G721" s="278"/>
      <c r="H721" s="278"/>
      <c r="I721" s="278"/>
      <c r="J721" s="27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278"/>
      <c r="AE721" s="8"/>
      <c r="AF721" s="8"/>
      <c r="AG721" s="8"/>
    </row>
    <row r="722" ht="13.5" customHeight="1">
      <c r="A722" s="8"/>
      <c r="B722" s="278"/>
      <c r="C722" s="278"/>
      <c r="D722" s="8"/>
      <c r="E722" s="278"/>
      <c r="F722" s="278"/>
      <c r="G722" s="278"/>
      <c r="H722" s="278"/>
      <c r="I722" s="278"/>
      <c r="J722" s="27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278"/>
      <c r="AE722" s="8"/>
      <c r="AF722" s="8"/>
      <c r="AG722" s="8"/>
    </row>
    <row r="723" ht="13.5" customHeight="1">
      <c r="A723" s="8"/>
      <c r="B723" s="278"/>
      <c r="C723" s="278"/>
      <c r="D723" s="8"/>
      <c r="E723" s="278"/>
      <c r="F723" s="278"/>
      <c r="G723" s="278"/>
      <c r="H723" s="278"/>
      <c r="I723" s="278"/>
      <c r="J723" s="27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278"/>
      <c r="AE723" s="8"/>
      <c r="AF723" s="8"/>
      <c r="AG723" s="8"/>
    </row>
    <row r="724" ht="13.5" customHeight="1">
      <c r="A724" s="8"/>
      <c r="B724" s="278"/>
      <c r="C724" s="278"/>
      <c r="D724" s="8"/>
      <c r="E724" s="278"/>
      <c r="F724" s="278"/>
      <c r="G724" s="278"/>
      <c r="H724" s="278"/>
      <c r="I724" s="278"/>
      <c r="J724" s="27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278"/>
      <c r="AE724" s="8"/>
      <c r="AF724" s="8"/>
      <c r="AG724" s="8"/>
    </row>
    <row r="725" ht="13.5" customHeight="1">
      <c r="A725" s="8"/>
      <c r="B725" s="278"/>
      <c r="C725" s="278"/>
      <c r="D725" s="8"/>
      <c r="E725" s="278"/>
      <c r="F725" s="278"/>
      <c r="G725" s="278"/>
      <c r="H725" s="278"/>
      <c r="I725" s="278"/>
      <c r="J725" s="27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278"/>
      <c r="AE725" s="8"/>
      <c r="AF725" s="8"/>
      <c r="AG725" s="8"/>
    </row>
    <row r="726" ht="13.5" customHeight="1">
      <c r="A726" s="8"/>
      <c r="B726" s="278"/>
      <c r="C726" s="278"/>
      <c r="D726" s="8"/>
      <c r="E726" s="278"/>
      <c r="F726" s="278"/>
      <c r="G726" s="278"/>
      <c r="H726" s="278"/>
      <c r="I726" s="278"/>
      <c r="J726" s="27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278"/>
      <c r="AE726" s="8"/>
      <c r="AF726" s="8"/>
      <c r="AG726" s="8"/>
    </row>
    <row r="727" ht="13.5" customHeight="1">
      <c r="A727" s="8"/>
      <c r="B727" s="278"/>
      <c r="C727" s="278"/>
      <c r="D727" s="8"/>
      <c r="E727" s="278"/>
      <c r="F727" s="278"/>
      <c r="G727" s="278"/>
      <c r="H727" s="278"/>
      <c r="I727" s="278"/>
      <c r="J727" s="27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278"/>
      <c r="AE727" s="8"/>
      <c r="AF727" s="8"/>
      <c r="AG727" s="8"/>
    </row>
    <row r="728" ht="13.5" customHeight="1">
      <c r="A728" s="8"/>
      <c r="B728" s="278"/>
      <c r="C728" s="278"/>
      <c r="D728" s="8"/>
      <c r="E728" s="278"/>
      <c r="F728" s="278"/>
      <c r="G728" s="278"/>
      <c r="H728" s="278"/>
      <c r="I728" s="278"/>
      <c r="J728" s="27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278"/>
      <c r="AE728" s="8"/>
      <c r="AF728" s="8"/>
      <c r="AG728" s="8"/>
    </row>
    <row r="729" ht="13.5" customHeight="1">
      <c r="A729" s="8"/>
      <c r="B729" s="278"/>
      <c r="C729" s="278"/>
      <c r="D729" s="8"/>
      <c r="E729" s="278"/>
      <c r="F729" s="278"/>
      <c r="G729" s="278"/>
      <c r="H729" s="278"/>
      <c r="I729" s="278"/>
      <c r="J729" s="27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278"/>
      <c r="AE729" s="8"/>
      <c r="AF729" s="8"/>
      <c r="AG729" s="8"/>
    </row>
    <row r="730" ht="13.5" customHeight="1">
      <c r="A730" s="8"/>
      <c r="B730" s="278"/>
      <c r="C730" s="278"/>
      <c r="D730" s="8"/>
      <c r="E730" s="278"/>
      <c r="F730" s="278"/>
      <c r="G730" s="278"/>
      <c r="H730" s="278"/>
      <c r="I730" s="278"/>
      <c r="J730" s="27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278"/>
      <c r="AE730" s="8"/>
      <c r="AF730" s="8"/>
      <c r="AG730" s="8"/>
    </row>
    <row r="731" ht="13.5" customHeight="1">
      <c r="A731" s="8"/>
      <c r="B731" s="278"/>
      <c r="C731" s="278"/>
      <c r="D731" s="8"/>
      <c r="E731" s="278"/>
      <c r="F731" s="278"/>
      <c r="G731" s="278"/>
      <c r="H731" s="278"/>
      <c r="I731" s="278"/>
      <c r="J731" s="27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278"/>
      <c r="AE731" s="8"/>
      <c r="AF731" s="8"/>
      <c r="AG731" s="8"/>
    </row>
    <row r="732" ht="13.5" customHeight="1">
      <c r="A732" s="8"/>
      <c r="B732" s="278"/>
      <c r="C732" s="278"/>
      <c r="D732" s="8"/>
      <c r="E732" s="278"/>
      <c r="F732" s="278"/>
      <c r="G732" s="278"/>
      <c r="H732" s="278"/>
      <c r="I732" s="278"/>
      <c r="J732" s="27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278"/>
      <c r="AE732" s="8"/>
      <c r="AF732" s="8"/>
      <c r="AG732" s="8"/>
    </row>
    <row r="733" ht="13.5" customHeight="1">
      <c r="A733" s="8"/>
      <c r="B733" s="278"/>
      <c r="C733" s="278"/>
      <c r="D733" s="8"/>
      <c r="E733" s="278"/>
      <c r="F733" s="278"/>
      <c r="G733" s="278"/>
      <c r="H733" s="278"/>
      <c r="I733" s="278"/>
      <c r="J733" s="27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278"/>
      <c r="AE733" s="8"/>
      <c r="AF733" s="8"/>
      <c r="AG733" s="8"/>
    </row>
    <row r="734" ht="13.5" customHeight="1">
      <c r="A734" s="8"/>
      <c r="B734" s="278"/>
      <c r="C734" s="278"/>
      <c r="D734" s="8"/>
      <c r="E734" s="278"/>
      <c r="F734" s="278"/>
      <c r="G734" s="278"/>
      <c r="H734" s="278"/>
      <c r="I734" s="278"/>
      <c r="J734" s="27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278"/>
      <c r="AE734" s="8"/>
      <c r="AF734" s="8"/>
      <c r="AG734" s="8"/>
    </row>
    <row r="735" ht="13.5" customHeight="1">
      <c r="A735" s="8"/>
      <c r="B735" s="278"/>
      <c r="C735" s="278"/>
      <c r="D735" s="8"/>
      <c r="E735" s="278"/>
      <c r="F735" s="278"/>
      <c r="G735" s="278"/>
      <c r="H735" s="278"/>
      <c r="I735" s="278"/>
      <c r="J735" s="27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278"/>
      <c r="AE735" s="8"/>
      <c r="AF735" s="8"/>
      <c r="AG735" s="8"/>
    </row>
    <row r="736" ht="13.5" customHeight="1">
      <c r="A736" s="8"/>
      <c r="B736" s="278"/>
      <c r="C736" s="278"/>
      <c r="D736" s="8"/>
      <c r="E736" s="278"/>
      <c r="F736" s="278"/>
      <c r="G736" s="278"/>
      <c r="H736" s="278"/>
      <c r="I736" s="278"/>
      <c r="J736" s="27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278"/>
      <c r="AE736" s="8"/>
      <c r="AF736" s="8"/>
      <c r="AG736" s="8"/>
    </row>
    <row r="737" ht="13.5" customHeight="1">
      <c r="A737" s="8"/>
      <c r="B737" s="278"/>
      <c r="C737" s="278"/>
      <c r="D737" s="8"/>
      <c r="E737" s="278"/>
      <c r="F737" s="278"/>
      <c r="G737" s="278"/>
      <c r="H737" s="278"/>
      <c r="I737" s="278"/>
      <c r="J737" s="27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278"/>
      <c r="AE737" s="8"/>
      <c r="AF737" s="8"/>
      <c r="AG737" s="8"/>
    </row>
    <row r="738" ht="13.5" customHeight="1">
      <c r="A738" s="8"/>
      <c r="B738" s="278"/>
      <c r="C738" s="278"/>
      <c r="D738" s="8"/>
      <c r="E738" s="278"/>
      <c r="F738" s="278"/>
      <c r="G738" s="278"/>
      <c r="H738" s="278"/>
      <c r="I738" s="278"/>
      <c r="J738" s="27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278"/>
      <c r="AE738" s="8"/>
      <c r="AF738" s="8"/>
      <c r="AG738" s="8"/>
    </row>
    <row r="739" ht="13.5" customHeight="1">
      <c r="A739" s="8"/>
      <c r="B739" s="278"/>
      <c r="C739" s="278"/>
      <c r="D739" s="8"/>
      <c r="E739" s="278"/>
      <c r="F739" s="278"/>
      <c r="G739" s="278"/>
      <c r="H739" s="278"/>
      <c r="I739" s="278"/>
      <c r="J739" s="27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278"/>
      <c r="AE739" s="8"/>
      <c r="AF739" s="8"/>
      <c r="AG739" s="8"/>
    </row>
    <row r="740" ht="13.5" customHeight="1">
      <c r="A740" s="8"/>
      <c r="B740" s="278"/>
      <c r="C740" s="278"/>
      <c r="D740" s="8"/>
      <c r="E740" s="278"/>
      <c r="F740" s="278"/>
      <c r="G740" s="278"/>
      <c r="H740" s="278"/>
      <c r="I740" s="278"/>
      <c r="J740" s="27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278"/>
      <c r="AE740" s="8"/>
      <c r="AF740" s="8"/>
      <c r="AG740" s="8"/>
    </row>
    <row r="741" ht="13.5" customHeight="1">
      <c r="A741" s="8"/>
      <c r="B741" s="278"/>
      <c r="C741" s="278"/>
      <c r="D741" s="8"/>
      <c r="E741" s="278"/>
      <c r="F741" s="278"/>
      <c r="G741" s="278"/>
      <c r="H741" s="278"/>
      <c r="I741" s="278"/>
      <c r="J741" s="27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278"/>
      <c r="AE741" s="8"/>
      <c r="AF741" s="8"/>
      <c r="AG741" s="8"/>
    </row>
    <row r="742" ht="13.5" customHeight="1">
      <c r="A742" s="8"/>
      <c r="B742" s="278"/>
      <c r="C742" s="278"/>
      <c r="D742" s="8"/>
      <c r="E742" s="278"/>
      <c r="F742" s="278"/>
      <c r="G742" s="278"/>
      <c r="H742" s="278"/>
      <c r="I742" s="278"/>
      <c r="J742" s="27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278"/>
      <c r="AE742" s="8"/>
      <c r="AF742" s="8"/>
      <c r="AG742" s="8"/>
    </row>
    <row r="743" ht="13.5" customHeight="1">
      <c r="A743" s="8"/>
      <c r="B743" s="278"/>
      <c r="C743" s="278"/>
      <c r="D743" s="8"/>
      <c r="E743" s="278"/>
      <c r="F743" s="278"/>
      <c r="G743" s="278"/>
      <c r="H743" s="278"/>
      <c r="I743" s="278"/>
      <c r="J743" s="27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278"/>
      <c r="AE743" s="8"/>
      <c r="AF743" s="8"/>
      <c r="AG743" s="8"/>
    </row>
    <row r="744" ht="13.5" customHeight="1">
      <c r="A744" s="8"/>
      <c r="B744" s="278"/>
      <c r="C744" s="278"/>
      <c r="D744" s="8"/>
      <c r="E744" s="278"/>
      <c r="F744" s="278"/>
      <c r="G744" s="278"/>
      <c r="H744" s="278"/>
      <c r="I744" s="278"/>
      <c r="J744" s="27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278"/>
      <c r="AE744" s="8"/>
      <c r="AF744" s="8"/>
      <c r="AG744" s="8"/>
    </row>
    <row r="745" ht="13.5" customHeight="1">
      <c r="A745" s="8"/>
      <c r="B745" s="278"/>
      <c r="C745" s="278"/>
      <c r="D745" s="8"/>
      <c r="E745" s="278"/>
      <c r="F745" s="278"/>
      <c r="G745" s="278"/>
      <c r="H745" s="278"/>
      <c r="I745" s="278"/>
      <c r="J745" s="27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278"/>
      <c r="AE745" s="8"/>
      <c r="AF745" s="8"/>
      <c r="AG745" s="8"/>
    </row>
    <row r="746" ht="13.5" customHeight="1">
      <c r="A746" s="8"/>
      <c r="B746" s="278"/>
      <c r="C746" s="278"/>
      <c r="D746" s="8"/>
      <c r="E746" s="278"/>
      <c r="F746" s="278"/>
      <c r="G746" s="278"/>
      <c r="H746" s="278"/>
      <c r="I746" s="278"/>
      <c r="J746" s="27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278"/>
      <c r="AE746" s="8"/>
      <c r="AF746" s="8"/>
      <c r="AG746" s="8"/>
    </row>
    <row r="747" ht="13.5" customHeight="1">
      <c r="A747" s="8"/>
      <c r="B747" s="278"/>
      <c r="C747" s="278"/>
      <c r="D747" s="8"/>
      <c r="E747" s="278"/>
      <c r="F747" s="278"/>
      <c r="G747" s="278"/>
      <c r="H747" s="278"/>
      <c r="I747" s="278"/>
      <c r="J747" s="27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278"/>
      <c r="AE747" s="8"/>
      <c r="AF747" s="8"/>
      <c r="AG747" s="8"/>
    </row>
    <row r="748" ht="13.5" customHeight="1">
      <c r="A748" s="8"/>
      <c r="B748" s="278"/>
      <c r="C748" s="278"/>
      <c r="D748" s="8"/>
      <c r="E748" s="278"/>
      <c r="F748" s="278"/>
      <c r="G748" s="278"/>
      <c r="H748" s="278"/>
      <c r="I748" s="278"/>
      <c r="J748" s="27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278"/>
      <c r="AE748" s="8"/>
      <c r="AF748" s="8"/>
      <c r="AG748" s="8"/>
    </row>
    <row r="749" ht="13.5" customHeight="1">
      <c r="A749" s="8"/>
      <c r="B749" s="278"/>
      <c r="C749" s="278"/>
      <c r="D749" s="8"/>
      <c r="E749" s="278"/>
      <c r="F749" s="278"/>
      <c r="G749" s="278"/>
      <c r="H749" s="278"/>
      <c r="I749" s="278"/>
      <c r="J749" s="27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278"/>
      <c r="AE749" s="8"/>
      <c r="AF749" s="8"/>
      <c r="AG749" s="8"/>
    </row>
    <row r="750" ht="13.5" customHeight="1">
      <c r="A750" s="8"/>
      <c r="B750" s="278"/>
      <c r="C750" s="278"/>
      <c r="D750" s="8"/>
      <c r="E750" s="278"/>
      <c r="F750" s="278"/>
      <c r="G750" s="278"/>
      <c r="H750" s="278"/>
      <c r="I750" s="278"/>
      <c r="J750" s="27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278"/>
      <c r="AE750" s="8"/>
      <c r="AF750" s="8"/>
      <c r="AG750" s="8"/>
    </row>
    <row r="751" ht="13.5" customHeight="1">
      <c r="A751" s="8"/>
      <c r="B751" s="278"/>
      <c r="C751" s="278"/>
      <c r="D751" s="8"/>
      <c r="E751" s="278"/>
      <c r="F751" s="278"/>
      <c r="G751" s="278"/>
      <c r="H751" s="278"/>
      <c r="I751" s="278"/>
      <c r="J751" s="27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278"/>
      <c r="AE751" s="8"/>
      <c r="AF751" s="8"/>
      <c r="AG751" s="8"/>
    </row>
    <row r="752" ht="13.5" customHeight="1">
      <c r="A752" s="8"/>
      <c r="B752" s="278"/>
      <c r="C752" s="278"/>
      <c r="D752" s="8"/>
      <c r="E752" s="278"/>
      <c r="F752" s="278"/>
      <c r="G752" s="278"/>
      <c r="H752" s="278"/>
      <c r="I752" s="278"/>
      <c r="J752" s="27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278"/>
      <c r="AE752" s="8"/>
      <c r="AF752" s="8"/>
      <c r="AG752" s="8"/>
    </row>
    <row r="753" ht="13.5" customHeight="1">
      <c r="A753" s="8"/>
      <c r="B753" s="278"/>
      <c r="C753" s="278"/>
      <c r="D753" s="8"/>
      <c r="E753" s="278"/>
      <c r="F753" s="278"/>
      <c r="G753" s="278"/>
      <c r="H753" s="278"/>
      <c r="I753" s="278"/>
      <c r="J753" s="27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278"/>
      <c r="AE753" s="8"/>
      <c r="AF753" s="8"/>
      <c r="AG753" s="8"/>
    </row>
    <row r="754" ht="13.5" customHeight="1">
      <c r="A754" s="8"/>
      <c r="B754" s="278"/>
      <c r="C754" s="278"/>
      <c r="D754" s="8"/>
      <c r="E754" s="278"/>
      <c r="F754" s="278"/>
      <c r="G754" s="278"/>
      <c r="H754" s="278"/>
      <c r="I754" s="278"/>
      <c r="J754" s="27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278"/>
      <c r="AE754" s="8"/>
      <c r="AF754" s="8"/>
      <c r="AG754" s="8"/>
    </row>
    <row r="755" ht="13.5" customHeight="1">
      <c r="A755" s="8"/>
      <c r="B755" s="278"/>
      <c r="C755" s="278"/>
      <c r="D755" s="8"/>
      <c r="E755" s="278"/>
      <c r="F755" s="278"/>
      <c r="G755" s="278"/>
      <c r="H755" s="278"/>
      <c r="I755" s="278"/>
      <c r="J755" s="27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278"/>
      <c r="AE755" s="8"/>
      <c r="AF755" s="8"/>
      <c r="AG755" s="8"/>
    </row>
    <row r="756" ht="13.5" customHeight="1">
      <c r="A756" s="8"/>
      <c r="B756" s="278"/>
      <c r="C756" s="278"/>
      <c r="D756" s="8"/>
      <c r="E756" s="278"/>
      <c r="F756" s="278"/>
      <c r="G756" s="278"/>
      <c r="H756" s="278"/>
      <c r="I756" s="278"/>
      <c r="J756" s="27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278"/>
      <c r="AE756" s="8"/>
      <c r="AF756" s="8"/>
      <c r="AG756" s="8"/>
    </row>
    <row r="757" ht="13.5" customHeight="1">
      <c r="A757" s="8"/>
      <c r="B757" s="278"/>
      <c r="C757" s="278"/>
      <c r="D757" s="8"/>
      <c r="E757" s="278"/>
      <c r="F757" s="278"/>
      <c r="G757" s="278"/>
      <c r="H757" s="278"/>
      <c r="I757" s="278"/>
      <c r="J757" s="27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278"/>
      <c r="AE757" s="8"/>
      <c r="AF757" s="8"/>
      <c r="AG757" s="8"/>
    </row>
    <row r="758" ht="13.5" customHeight="1">
      <c r="A758" s="8"/>
      <c r="B758" s="278"/>
      <c r="C758" s="278"/>
      <c r="D758" s="8"/>
      <c r="E758" s="278"/>
      <c r="F758" s="278"/>
      <c r="G758" s="278"/>
      <c r="H758" s="278"/>
      <c r="I758" s="278"/>
      <c r="J758" s="27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278"/>
      <c r="AE758" s="8"/>
      <c r="AF758" s="8"/>
      <c r="AG758" s="8"/>
    </row>
    <row r="759" ht="13.5" customHeight="1">
      <c r="A759" s="8"/>
      <c r="B759" s="278"/>
      <c r="C759" s="278"/>
      <c r="D759" s="8"/>
      <c r="E759" s="278"/>
      <c r="F759" s="278"/>
      <c r="G759" s="278"/>
      <c r="H759" s="278"/>
      <c r="I759" s="278"/>
      <c r="J759" s="27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278"/>
      <c r="AE759" s="8"/>
      <c r="AF759" s="8"/>
      <c r="AG759" s="8"/>
    </row>
    <row r="760" ht="13.5" customHeight="1">
      <c r="A760" s="8"/>
      <c r="B760" s="278"/>
      <c r="C760" s="278"/>
      <c r="D760" s="8"/>
      <c r="E760" s="278"/>
      <c r="F760" s="278"/>
      <c r="G760" s="278"/>
      <c r="H760" s="278"/>
      <c r="I760" s="278"/>
      <c r="J760" s="27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278"/>
      <c r="AE760" s="8"/>
      <c r="AF760" s="8"/>
      <c r="AG760" s="8"/>
    </row>
    <row r="761" ht="13.5" customHeight="1">
      <c r="A761" s="8"/>
      <c r="B761" s="278"/>
      <c r="C761" s="278"/>
      <c r="D761" s="8"/>
      <c r="E761" s="278"/>
      <c r="F761" s="278"/>
      <c r="G761" s="278"/>
      <c r="H761" s="278"/>
      <c r="I761" s="278"/>
      <c r="J761" s="27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278"/>
      <c r="AE761" s="8"/>
      <c r="AF761" s="8"/>
      <c r="AG761" s="8"/>
    </row>
    <row r="762" ht="13.5" customHeight="1">
      <c r="A762" s="8"/>
      <c r="B762" s="278"/>
      <c r="C762" s="278"/>
      <c r="D762" s="8"/>
      <c r="E762" s="278"/>
      <c r="F762" s="278"/>
      <c r="G762" s="278"/>
      <c r="H762" s="278"/>
      <c r="I762" s="278"/>
      <c r="J762" s="27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278"/>
      <c r="AE762" s="8"/>
      <c r="AF762" s="8"/>
      <c r="AG762" s="8"/>
    </row>
    <row r="763" ht="13.5" customHeight="1">
      <c r="A763" s="8"/>
      <c r="B763" s="278"/>
      <c r="C763" s="278"/>
      <c r="D763" s="8"/>
      <c r="E763" s="278"/>
      <c r="F763" s="278"/>
      <c r="G763" s="278"/>
      <c r="H763" s="278"/>
      <c r="I763" s="278"/>
      <c r="J763" s="27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278"/>
      <c r="AE763" s="8"/>
      <c r="AF763" s="8"/>
      <c r="AG763" s="8"/>
    </row>
    <row r="764" ht="13.5" customHeight="1">
      <c r="A764" s="8"/>
      <c r="B764" s="278"/>
      <c r="C764" s="278"/>
      <c r="D764" s="8"/>
      <c r="E764" s="278"/>
      <c r="F764" s="278"/>
      <c r="G764" s="278"/>
      <c r="H764" s="278"/>
      <c r="I764" s="278"/>
      <c r="J764" s="27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278"/>
      <c r="AE764" s="8"/>
      <c r="AF764" s="8"/>
      <c r="AG764" s="8"/>
    </row>
    <row r="765" ht="13.5" customHeight="1">
      <c r="A765" s="8"/>
      <c r="B765" s="278"/>
      <c r="C765" s="278"/>
      <c r="D765" s="8"/>
      <c r="E765" s="278"/>
      <c r="F765" s="278"/>
      <c r="G765" s="278"/>
      <c r="H765" s="278"/>
      <c r="I765" s="278"/>
      <c r="J765" s="27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278"/>
      <c r="AE765" s="8"/>
      <c r="AF765" s="8"/>
      <c r="AG765" s="8"/>
    </row>
    <row r="766" ht="13.5" customHeight="1">
      <c r="A766" s="8"/>
      <c r="B766" s="278"/>
      <c r="C766" s="278"/>
      <c r="D766" s="8"/>
      <c r="E766" s="278"/>
      <c r="F766" s="278"/>
      <c r="G766" s="278"/>
      <c r="H766" s="278"/>
      <c r="I766" s="278"/>
      <c r="J766" s="27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278"/>
      <c r="AE766" s="8"/>
      <c r="AF766" s="8"/>
      <c r="AG766" s="8"/>
    </row>
    <row r="767" ht="13.5" customHeight="1">
      <c r="A767" s="8"/>
      <c r="B767" s="278"/>
      <c r="C767" s="278"/>
      <c r="D767" s="8"/>
      <c r="E767" s="278"/>
      <c r="F767" s="278"/>
      <c r="G767" s="278"/>
      <c r="H767" s="278"/>
      <c r="I767" s="278"/>
      <c r="J767" s="27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278"/>
      <c r="AE767" s="8"/>
      <c r="AF767" s="8"/>
      <c r="AG767" s="8"/>
    </row>
    <row r="768" ht="13.5" customHeight="1">
      <c r="A768" s="8"/>
      <c r="B768" s="278"/>
      <c r="C768" s="278"/>
      <c r="D768" s="8"/>
      <c r="E768" s="278"/>
      <c r="F768" s="278"/>
      <c r="G768" s="278"/>
      <c r="H768" s="278"/>
      <c r="I768" s="278"/>
      <c r="J768" s="27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278"/>
      <c r="AE768" s="8"/>
      <c r="AF768" s="8"/>
      <c r="AG768" s="8"/>
    </row>
    <row r="769" ht="13.5" customHeight="1">
      <c r="A769" s="8"/>
      <c r="B769" s="278"/>
      <c r="C769" s="278"/>
      <c r="D769" s="8"/>
      <c r="E769" s="278"/>
      <c r="F769" s="278"/>
      <c r="G769" s="278"/>
      <c r="H769" s="278"/>
      <c r="I769" s="278"/>
      <c r="J769" s="27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278"/>
      <c r="AE769" s="8"/>
      <c r="AF769" s="8"/>
      <c r="AG769" s="8"/>
    </row>
    <row r="770" ht="13.5" customHeight="1">
      <c r="A770" s="8"/>
      <c r="B770" s="278"/>
      <c r="C770" s="278"/>
      <c r="D770" s="8"/>
      <c r="E770" s="278"/>
      <c r="F770" s="278"/>
      <c r="G770" s="278"/>
      <c r="H770" s="278"/>
      <c r="I770" s="278"/>
      <c r="J770" s="27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278"/>
      <c r="AE770" s="8"/>
      <c r="AF770" s="8"/>
      <c r="AG770" s="8"/>
    </row>
    <row r="771" ht="13.5" customHeight="1">
      <c r="A771" s="8"/>
      <c r="B771" s="278"/>
      <c r="C771" s="278"/>
      <c r="D771" s="8"/>
      <c r="E771" s="278"/>
      <c r="F771" s="278"/>
      <c r="G771" s="278"/>
      <c r="H771" s="278"/>
      <c r="I771" s="278"/>
      <c r="J771" s="27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278"/>
      <c r="AE771" s="8"/>
      <c r="AF771" s="8"/>
      <c r="AG771" s="8"/>
    </row>
    <row r="772" ht="13.5" customHeight="1">
      <c r="A772" s="8"/>
      <c r="B772" s="278"/>
      <c r="C772" s="278"/>
      <c r="D772" s="8"/>
      <c r="E772" s="278"/>
      <c r="F772" s="278"/>
      <c r="G772" s="278"/>
      <c r="H772" s="278"/>
      <c r="I772" s="278"/>
      <c r="J772" s="27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278"/>
      <c r="AE772" s="8"/>
      <c r="AF772" s="8"/>
      <c r="AG772" s="8"/>
    </row>
    <row r="773" ht="13.5" customHeight="1">
      <c r="A773" s="8"/>
      <c r="B773" s="278"/>
      <c r="C773" s="278"/>
      <c r="D773" s="8"/>
      <c r="E773" s="278"/>
      <c r="F773" s="278"/>
      <c r="G773" s="278"/>
      <c r="H773" s="278"/>
      <c r="I773" s="278"/>
      <c r="J773" s="27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278"/>
      <c r="AE773" s="8"/>
      <c r="AF773" s="8"/>
      <c r="AG773" s="8"/>
    </row>
    <row r="774" ht="13.5" customHeight="1">
      <c r="A774" s="8"/>
      <c r="B774" s="278"/>
      <c r="C774" s="278"/>
      <c r="D774" s="8"/>
      <c r="E774" s="278"/>
      <c r="F774" s="278"/>
      <c r="G774" s="278"/>
      <c r="H774" s="278"/>
      <c r="I774" s="278"/>
      <c r="J774" s="27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278"/>
      <c r="AE774" s="8"/>
      <c r="AF774" s="8"/>
      <c r="AG774" s="8"/>
    </row>
    <row r="775" ht="13.5" customHeight="1">
      <c r="A775" s="8"/>
      <c r="B775" s="278"/>
      <c r="C775" s="278"/>
      <c r="D775" s="8"/>
      <c r="E775" s="278"/>
      <c r="F775" s="278"/>
      <c r="G775" s="278"/>
      <c r="H775" s="278"/>
      <c r="I775" s="278"/>
      <c r="J775" s="27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278"/>
      <c r="AE775" s="8"/>
      <c r="AF775" s="8"/>
      <c r="AG775" s="8"/>
    </row>
    <row r="776" ht="13.5" customHeight="1">
      <c r="A776" s="8"/>
      <c r="B776" s="278"/>
      <c r="C776" s="278"/>
      <c r="D776" s="8"/>
      <c r="E776" s="278"/>
      <c r="F776" s="278"/>
      <c r="G776" s="278"/>
      <c r="H776" s="278"/>
      <c r="I776" s="278"/>
      <c r="J776" s="27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278"/>
      <c r="AE776" s="8"/>
      <c r="AF776" s="8"/>
      <c r="AG776" s="8"/>
    </row>
    <row r="777" ht="13.5" customHeight="1">
      <c r="A777" s="8"/>
      <c r="B777" s="278"/>
      <c r="C777" s="278"/>
      <c r="D777" s="8"/>
      <c r="E777" s="278"/>
      <c r="F777" s="278"/>
      <c r="G777" s="278"/>
      <c r="H777" s="278"/>
      <c r="I777" s="278"/>
      <c r="J777" s="27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278"/>
      <c r="AE777" s="8"/>
      <c r="AF777" s="8"/>
      <c r="AG777" s="8"/>
    </row>
    <row r="778" ht="13.5" customHeight="1">
      <c r="A778" s="8"/>
      <c r="B778" s="278"/>
      <c r="C778" s="278"/>
      <c r="D778" s="8"/>
      <c r="E778" s="278"/>
      <c r="F778" s="278"/>
      <c r="G778" s="278"/>
      <c r="H778" s="278"/>
      <c r="I778" s="278"/>
      <c r="J778" s="27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278"/>
      <c r="AE778" s="8"/>
      <c r="AF778" s="8"/>
      <c r="AG778" s="8"/>
    </row>
    <row r="779" ht="13.5" customHeight="1">
      <c r="A779" s="8"/>
      <c r="B779" s="278"/>
      <c r="C779" s="278"/>
      <c r="D779" s="8"/>
      <c r="E779" s="278"/>
      <c r="F779" s="278"/>
      <c r="G779" s="278"/>
      <c r="H779" s="278"/>
      <c r="I779" s="278"/>
      <c r="J779" s="27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278"/>
      <c r="AE779" s="8"/>
      <c r="AF779" s="8"/>
      <c r="AG779" s="8"/>
    </row>
    <row r="780" ht="13.5" customHeight="1">
      <c r="A780" s="8"/>
      <c r="B780" s="278"/>
      <c r="C780" s="278"/>
      <c r="D780" s="8"/>
      <c r="E780" s="278"/>
      <c r="F780" s="278"/>
      <c r="G780" s="278"/>
      <c r="H780" s="278"/>
      <c r="I780" s="278"/>
      <c r="J780" s="27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278"/>
      <c r="AE780" s="8"/>
      <c r="AF780" s="8"/>
      <c r="AG780" s="8"/>
    </row>
    <row r="781" ht="13.5" customHeight="1">
      <c r="A781" s="8"/>
      <c r="B781" s="278"/>
      <c r="C781" s="278"/>
      <c r="D781" s="8"/>
      <c r="E781" s="278"/>
      <c r="F781" s="278"/>
      <c r="G781" s="278"/>
      <c r="H781" s="278"/>
      <c r="I781" s="278"/>
      <c r="J781" s="27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278"/>
      <c r="AE781" s="8"/>
      <c r="AF781" s="8"/>
      <c r="AG781" s="8"/>
    </row>
    <row r="782" ht="13.5" customHeight="1">
      <c r="A782" s="8"/>
      <c r="B782" s="278"/>
      <c r="C782" s="278"/>
      <c r="D782" s="8"/>
      <c r="E782" s="278"/>
      <c r="F782" s="278"/>
      <c r="G782" s="278"/>
      <c r="H782" s="278"/>
      <c r="I782" s="278"/>
      <c r="J782" s="27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278"/>
      <c r="AE782" s="8"/>
      <c r="AF782" s="8"/>
      <c r="AG782" s="8"/>
    </row>
    <row r="783" ht="13.5" customHeight="1">
      <c r="A783" s="8"/>
      <c r="B783" s="278"/>
      <c r="C783" s="278"/>
      <c r="D783" s="8"/>
      <c r="E783" s="278"/>
      <c r="F783" s="278"/>
      <c r="G783" s="278"/>
      <c r="H783" s="278"/>
      <c r="I783" s="278"/>
      <c r="J783" s="27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278"/>
      <c r="AE783" s="8"/>
      <c r="AF783" s="8"/>
      <c r="AG783" s="8"/>
    </row>
    <row r="784" ht="13.5" customHeight="1">
      <c r="A784" s="8"/>
      <c r="B784" s="278"/>
      <c r="C784" s="278"/>
      <c r="D784" s="8"/>
      <c r="E784" s="278"/>
      <c r="F784" s="278"/>
      <c r="G784" s="278"/>
      <c r="H784" s="278"/>
      <c r="I784" s="278"/>
      <c r="J784" s="27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278"/>
      <c r="AE784" s="8"/>
      <c r="AF784" s="8"/>
      <c r="AG784" s="8"/>
    </row>
    <row r="785" ht="13.5" customHeight="1">
      <c r="A785" s="8"/>
      <c r="B785" s="278"/>
      <c r="C785" s="278"/>
      <c r="D785" s="8"/>
      <c r="E785" s="278"/>
      <c r="F785" s="278"/>
      <c r="G785" s="278"/>
      <c r="H785" s="278"/>
      <c r="I785" s="278"/>
      <c r="J785" s="27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278"/>
      <c r="AE785" s="8"/>
      <c r="AF785" s="8"/>
      <c r="AG785" s="8"/>
    </row>
    <row r="786" ht="13.5" customHeight="1">
      <c r="A786" s="8"/>
      <c r="B786" s="278"/>
      <c r="C786" s="278"/>
      <c r="D786" s="8"/>
      <c r="E786" s="278"/>
      <c r="F786" s="278"/>
      <c r="G786" s="278"/>
      <c r="H786" s="278"/>
      <c r="I786" s="278"/>
      <c r="J786" s="27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278"/>
      <c r="AE786" s="8"/>
      <c r="AF786" s="8"/>
      <c r="AG786" s="8"/>
    </row>
    <row r="787" ht="13.5" customHeight="1">
      <c r="A787" s="8"/>
      <c r="B787" s="278"/>
      <c r="C787" s="278"/>
      <c r="D787" s="8"/>
      <c r="E787" s="278"/>
      <c r="F787" s="278"/>
      <c r="G787" s="278"/>
      <c r="H787" s="278"/>
      <c r="I787" s="278"/>
      <c r="J787" s="27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278"/>
      <c r="AE787" s="8"/>
      <c r="AF787" s="8"/>
      <c r="AG787" s="8"/>
    </row>
    <row r="788" ht="13.5" customHeight="1">
      <c r="A788" s="8"/>
      <c r="B788" s="278"/>
      <c r="C788" s="278"/>
      <c r="D788" s="8"/>
      <c r="E788" s="278"/>
      <c r="F788" s="278"/>
      <c r="G788" s="278"/>
      <c r="H788" s="278"/>
      <c r="I788" s="278"/>
      <c r="J788" s="27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278"/>
      <c r="AE788" s="8"/>
      <c r="AF788" s="8"/>
      <c r="AG788" s="8"/>
    </row>
    <row r="789" ht="13.5" customHeight="1">
      <c r="A789" s="8"/>
      <c r="B789" s="278"/>
      <c r="C789" s="278"/>
      <c r="D789" s="8"/>
      <c r="E789" s="278"/>
      <c r="F789" s="278"/>
      <c r="G789" s="278"/>
      <c r="H789" s="278"/>
      <c r="I789" s="278"/>
      <c r="J789" s="27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278"/>
      <c r="AE789" s="8"/>
      <c r="AF789" s="8"/>
      <c r="AG789" s="8"/>
    </row>
    <row r="790" ht="13.5" customHeight="1">
      <c r="A790" s="8"/>
      <c r="B790" s="278"/>
      <c r="C790" s="278"/>
      <c r="D790" s="8"/>
      <c r="E790" s="278"/>
      <c r="F790" s="278"/>
      <c r="G790" s="278"/>
      <c r="H790" s="278"/>
      <c r="I790" s="278"/>
      <c r="J790" s="27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278"/>
      <c r="AE790" s="8"/>
      <c r="AF790" s="8"/>
      <c r="AG790" s="8"/>
    </row>
    <row r="791" ht="13.5" customHeight="1">
      <c r="A791" s="8"/>
      <c r="B791" s="278"/>
      <c r="C791" s="278"/>
      <c r="D791" s="8"/>
      <c r="E791" s="278"/>
      <c r="F791" s="278"/>
      <c r="G791" s="278"/>
      <c r="H791" s="278"/>
      <c r="I791" s="278"/>
      <c r="J791" s="27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278"/>
      <c r="AE791" s="8"/>
      <c r="AF791" s="8"/>
      <c r="AG791" s="8"/>
    </row>
    <row r="792" ht="13.5" customHeight="1">
      <c r="A792" s="8"/>
      <c r="B792" s="278"/>
      <c r="C792" s="278"/>
      <c r="D792" s="8"/>
      <c r="E792" s="278"/>
      <c r="F792" s="278"/>
      <c r="G792" s="278"/>
      <c r="H792" s="278"/>
      <c r="I792" s="278"/>
      <c r="J792" s="27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278"/>
      <c r="AE792" s="8"/>
      <c r="AF792" s="8"/>
      <c r="AG792" s="8"/>
    </row>
    <row r="793" ht="13.5" customHeight="1">
      <c r="A793" s="8"/>
      <c r="B793" s="278"/>
      <c r="C793" s="278"/>
      <c r="D793" s="8"/>
      <c r="E793" s="278"/>
      <c r="F793" s="278"/>
      <c r="G793" s="278"/>
      <c r="H793" s="278"/>
      <c r="I793" s="278"/>
      <c r="J793" s="27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278"/>
      <c r="AE793" s="8"/>
      <c r="AF793" s="8"/>
      <c r="AG793" s="8"/>
    </row>
    <row r="794" ht="13.5" customHeight="1">
      <c r="A794" s="8"/>
      <c r="B794" s="278"/>
      <c r="C794" s="278"/>
      <c r="D794" s="8"/>
      <c r="E794" s="278"/>
      <c r="F794" s="278"/>
      <c r="G794" s="278"/>
      <c r="H794" s="278"/>
      <c r="I794" s="278"/>
      <c r="J794" s="27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278"/>
      <c r="AE794" s="8"/>
      <c r="AF794" s="8"/>
      <c r="AG794" s="8"/>
    </row>
    <row r="795" ht="13.5" customHeight="1">
      <c r="A795" s="8"/>
      <c r="B795" s="278"/>
      <c r="C795" s="278"/>
      <c r="D795" s="8"/>
      <c r="E795" s="278"/>
      <c r="F795" s="278"/>
      <c r="G795" s="278"/>
      <c r="H795" s="278"/>
      <c r="I795" s="278"/>
      <c r="J795" s="27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278"/>
      <c r="AE795" s="8"/>
      <c r="AF795" s="8"/>
      <c r="AG795" s="8"/>
    </row>
    <row r="796" ht="13.5" customHeight="1">
      <c r="A796" s="8"/>
      <c r="B796" s="278"/>
      <c r="C796" s="278"/>
      <c r="D796" s="8"/>
      <c r="E796" s="278"/>
      <c r="F796" s="278"/>
      <c r="G796" s="278"/>
      <c r="H796" s="278"/>
      <c r="I796" s="278"/>
      <c r="J796" s="27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278"/>
      <c r="AE796" s="8"/>
      <c r="AF796" s="8"/>
      <c r="AG796" s="8"/>
    </row>
    <row r="797" ht="13.5" customHeight="1">
      <c r="A797" s="8"/>
      <c r="B797" s="278"/>
      <c r="C797" s="278"/>
      <c r="D797" s="8"/>
      <c r="E797" s="278"/>
      <c r="F797" s="278"/>
      <c r="G797" s="278"/>
      <c r="H797" s="278"/>
      <c r="I797" s="278"/>
      <c r="J797" s="27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278"/>
      <c r="AE797" s="8"/>
      <c r="AF797" s="8"/>
      <c r="AG797" s="8"/>
    </row>
    <row r="798" ht="13.5" customHeight="1">
      <c r="A798" s="8"/>
      <c r="B798" s="278"/>
      <c r="C798" s="278"/>
      <c r="D798" s="8"/>
      <c r="E798" s="278"/>
      <c r="F798" s="278"/>
      <c r="G798" s="278"/>
      <c r="H798" s="278"/>
      <c r="I798" s="278"/>
      <c r="J798" s="27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278"/>
      <c r="AE798" s="8"/>
      <c r="AF798" s="8"/>
      <c r="AG798" s="8"/>
    </row>
    <row r="799" ht="13.5" customHeight="1">
      <c r="A799" s="8"/>
      <c r="B799" s="278"/>
      <c r="C799" s="278"/>
      <c r="D799" s="8"/>
      <c r="E799" s="278"/>
      <c r="F799" s="278"/>
      <c r="G799" s="278"/>
      <c r="H799" s="278"/>
      <c r="I799" s="278"/>
      <c r="J799" s="27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278"/>
      <c r="AE799" s="8"/>
      <c r="AF799" s="8"/>
      <c r="AG799" s="8"/>
    </row>
    <row r="800" ht="13.5" customHeight="1">
      <c r="A800" s="8"/>
      <c r="B800" s="278"/>
      <c r="C800" s="278"/>
      <c r="D800" s="8"/>
      <c r="E800" s="278"/>
      <c r="F800" s="278"/>
      <c r="G800" s="278"/>
      <c r="H800" s="278"/>
      <c r="I800" s="278"/>
      <c r="J800" s="27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278"/>
      <c r="AE800" s="8"/>
      <c r="AF800" s="8"/>
      <c r="AG800" s="8"/>
    </row>
    <row r="801" ht="13.5" customHeight="1">
      <c r="A801" s="8"/>
      <c r="B801" s="278"/>
      <c r="C801" s="278"/>
      <c r="D801" s="8"/>
      <c r="E801" s="278"/>
      <c r="F801" s="278"/>
      <c r="G801" s="278"/>
      <c r="H801" s="278"/>
      <c r="I801" s="278"/>
      <c r="J801" s="27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278"/>
      <c r="AE801" s="8"/>
      <c r="AF801" s="8"/>
      <c r="AG801" s="8"/>
    </row>
    <row r="802" ht="13.5" customHeight="1">
      <c r="A802" s="8"/>
      <c r="B802" s="278"/>
      <c r="C802" s="278"/>
      <c r="D802" s="8"/>
      <c r="E802" s="278"/>
      <c r="F802" s="278"/>
      <c r="G802" s="278"/>
      <c r="H802" s="278"/>
      <c r="I802" s="278"/>
      <c r="J802" s="27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278"/>
      <c r="AE802" s="8"/>
      <c r="AF802" s="8"/>
      <c r="AG802" s="8"/>
    </row>
    <row r="803" ht="13.5" customHeight="1">
      <c r="A803" s="8"/>
      <c r="B803" s="278"/>
      <c r="C803" s="278"/>
      <c r="D803" s="8"/>
      <c r="E803" s="278"/>
      <c r="F803" s="278"/>
      <c r="G803" s="278"/>
      <c r="H803" s="278"/>
      <c r="I803" s="278"/>
      <c r="J803" s="27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278"/>
      <c r="AE803" s="8"/>
      <c r="AF803" s="8"/>
      <c r="AG803" s="8"/>
    </row>
    <row r="804" ht="13.5" customHeight="1">
      <c r="A804" s="8"/>
      <c r="B804" s="278"/>
      <c r="C804" s="278"/>
      <c r="D804" s="8"/>
      <c r="E804" s="278"/>
      <c r="F804" s="278"/>
      <c r="G804" s="278"/>
      <c r="H804" s="278"/>
      <c r="I804" s="278"/>
      <c r="J804" s="27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278"/>
      <c r="AE804" s="8"/>
      <c r="AF804" s="8"/>
      <c r="AG804" s="8"/>
    </row>
    <row r="805" ht="13.5" customHeight="1">
      <c r="A805" s="8"/>
      <c r="B805" s="278"/>
      <c r="C805" s="278"/>
      <c r="D805" s="8"/>
      <c r="E805" s="278"/>
      <c r="F805" s="278"/>
      <c r="G805" s="278"/>
      <c r="H805" s="278"/>
      <c r="I805" s="278"/>
      <c r="J805" s="27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278"/>
      <c r="AE805" s="8"/>
      <c r="AF805" s="8"/>
      <c r="AG805" s="8"/>
    </row>
    <row r="806" ht="13.5" customHeight="1">
      <c r="A806" s="8"/>
      <c r="B806" s="278"/>
      <c r="C806" s="278"/>
      <c r="D806" s="8"/>
      <c r="E806" s="278"/>
      <c r="F806" s="278"/>
      <c r="G806" s="278"/>
      <c r="H806" s="278"/>
      <c r="I806" s="278"/>
      <c r="J806" s="27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278"/>
      <c r="AE806" s="8"/>
      <c r="AF806" s="8"/>
      <c r="AG806" s="8"/>
    </row>
    <row r="807" ht="13.5" customHeight="1">
      <c r="A807" s="8"/>
      <c r="B807" s="278"/>
      <c r="C807" s="278"/>
      <c r="D807" s="8"/>
      <c r="E807" s="278"/>
      <c r="F807" s="278"/>
      <c r="G807" s="278"/>
      <c r="H807" s="278"/>
      <c r="I807" s="278"/>
      <c r="J807" s="27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278"/>
      <c r="AE807" s="8"/>
      <c r="AF807" s="8"/>
      <c r="AG807" s="8"/>
    </row>
    <row r="808" ht="13.5" customHeight="1">
      <c r="A808" s="8"/>
      <c r="B808" s="278"/>
      <c r="C808" s="278"/>
      <c r="D808" s="8"/>
      <c r="E808" s="278"/>
      <c r="F808" s="278"/>
      <c r="G808" s="278"/>
      <c r="H808" s="278"/>
      <c r="I808" s="278"/>
      <c r="J808" s="27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278"/>
      <c r="AE808" s="8"/>
      <c r="AF808" s="8"/>
      <c r="AG808" s="8"/>
    </row>
    <row r="809" ht="13.5" customHeight="1">
      <c r="A809" s="8"/>
      <c r="B809" s="278"/>
      <c r="C809" s="278"/>
      <c r="D809" s="8"/>
      <c r="E809" s="278"/>
      <c r="F809" s="278"/>
      <c r="G809" s="278"/>
      <c r="H809" s="278"/>
      <c r="I809" s="278"/>
      <c r="J809" s="27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278"/>
      <c r="AE809" s="8"/>
      <c r="AF809" s="8"/>
      <c r="AG809" s="8"/>
    </row>
    <row r="810" ht="13.5" customHeight="1">
      <c r="A810" s="8"/>
      <c r="B810" s="278"/>
      <c r="C810" s="278"/>
      <c r="D810" s="8"/>
      <c r="E810" s="278"/>
      <c r="F810" s="278"/>
      <c r="G810" s="278"/>
      <c r="H810" s="278"/>
      <c r="I810" s="278"/>
      <c r="J810" s="27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278"/>
      <c r="AE810" s="8"/>
      <c r="AF810" s="8"/>
      <c r="AG810" s="8"/>
    </row>
    <row r="811" ht="13.5" customHeight="1">
      <c r="A811" s="8"/>
      <c r="B811" s="278"/>
      <c r="C811" s="278"/>
      <c r="D811" s="8"/>
      <c r="E811" s="278"/>
      <c r="F811" s="278"/>
      <c r="G811" s="278"/>
      <c r="H811" s="278"/>
      <c r="I811" s="278"/>
      <c r="J811" s="27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278"/>
      <c r="AE811" s="8"/>
      <c r="AF811" s="8"/>
      <c r="AG811" s="8"/>
    </row>
    <row r="812" ht="13.5" customHeight="1">
      <c r="A812" s="8"/>
      <c r="B812" s="278"/>
      <c r="C812" s="278"/>
      <c r="D812" s="8"/>
      <c r="E812" s="278"/>
      <c r="F812" s="278"/>
      <c r="G812" s="278"/>
      <c r="H812" s="278"/>
      <c r="I812" s="278"/>
      <c r="J812" s="27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278"/>
      <c r="AE812" s="8"/>
      <c r="AF812" s="8"/>
      <c r="AG812" s="8"/>
    </row>
    <row r="813" ht="13.5" customHeight="1">
      <c r="A813" s="8"/>
      <c r="B813" s="278"/>
      <c r="C813" s="278"/>
      <c r="D813" s="8"/>
      <c r="E813" s="278"/>
      <c r="F813" s="278"/>
      <c r="G813" s="278"/>
      <c r="H813" s="278"/>
      <c r="I813" s="278"/>
      <c r="J813" s="27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278"/>
      <c r="AE813" s="8"/>
      <c r="AF813" s="8"/>
      <c r="AG813" s="8"/>
    </row>
    <row r="814" ht="13.5" customHeight="1">
      <c r="A814" s="8"/>
      <c r="B814" s="278"/>
      <c r="C814" s="278"/>
      <c r="D814" s="8"/>
      <c r="E814" s="278"/>
      <c r="F814" s="278"/>
      <c r="G814" s="278"/>
      <c r="H814" s="278"/>
      <c r="I814" s="278"/>
      <c r="J814" s="27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278"/>
      <c r="AE814" s="8"/>
      <c r="AF814" s="8"/>
      <c r="AG814" s="8"/>
    </row>
    <row r="815" ht="13.5" customHeight="1">
      <c r="A815" s="8"/>
      <c r="B815" s="278"/>
      <c r="C815" s="278"/>
      <c r="D815" s="8"/>
      <c r="E815" s="278"/>
      <c r="F815" s="278"/>
      <c r="G815" s="278"/>
      <c r="H815" s="278"/>
      <c r="I815" s="278"/>
      <c r="J815" s="27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278"/>
      <c r="AE815" s="8"/>
      <c r="AF815" s="8"/>
      <c r="AG815" s="8"/>
    </row>
    <row r="816" ht="13.5" customHeight="1">
      <c r="A816" s="8"/>
      <c r="B816" s="278"/>
      <c r="C816" s="278"/>
      <c r="D816" s="8"/>
      <c r="E816" s="278"/>
      <c r="F816" s="278"/>
      <c r="G816" s="278"/>
      <c r="H816" s="278"/>
      <c r="I816" s="278"/>
      <c r="J816" s="27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278"/>
      <c r="AE816" s="8"/>
      <c r="AF816" s="8"/>
      <c r="AG816" s="8"/>
    </row>
    <row r="817" ht="13.5" customHeight="1">
      <c r="A817" s="8"/>
      <c r="B817" s="278"/>
      <c r="C817" s="278"/>
      <c r="D817" s="8"/>
      <c r="E817" s="278"/>
      <c r="F817" s="278"/>
      <c r="G817" s="278"/>
      <c r="H817" s="278"/>
      <c r="I817" s="278"/>
      <c r="J817" s="27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278"/>
      <c r="AE817" s="8"/>
      <c r="AF817" s="8"/>
      <c r="AG817" s="8"/>
    </row>
    <row r="818" ht="13.5" customHeight="1">
      <c r="A818" s="8"/>
      <c r="B818" s="278"/>
      <c r="C818" s="278"/>
      <c r="D818" s="8"/>
      <c r="E818" s="278"/>
      <c r="F818" s="278"/>
      <c r="G818" s="278"/>
      <c r="H818" s="278"/>
      <c r="I818" s="278"/>
      <c r="J818" s="27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278"/>
      <c r="AE818" s="8"/>
      <c r="AF818" s="8"/>
      <c r="AG818" s="8"/>
    </row>
    <row r="819" ht="13.5" customHeight="1">
      <c r="A819" s="8"/>
      <c r="B819" s="278"/>
      <c r="C819" s="278"/>
      <c r="D819" s="8"/>
      <c r="E819" s="278"/>
      <c r="F819" s="278"/>
      <c r="G819" s="278"/>
      <c r="H819" s="278"/>
      <c r="I819" s="278"/>
      <c r="J819" s="27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278"/>
      <c r="AE819" s="8"/>
      <c r="AF819" s="8"/>
      <c r="AG819" s="8"/>
    </row>
    <row r="820" ht="13.5" customHeight="1">
      <c r="A820" s="8"/>
      <c r="B820" s="278"/>
      <c r="C820" s="278"/>
      <c r="D820" s="8"/>
      <c r="E820" s="278"/>
      <c r="F820" s="278"/>
      <c r="G820" s="278"/>
      <c r="H820" s="278"/>
      <c r="I820" s="278"/>
      <c r="J820" s="27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278"/>
      <c r="AE820" s="8"/>
      <c r="AF820" s="8"/>
      <c r="AG820" s="8"/>
    </row>
    <row r="821" ht="13.5" customHeight="1">
      <c r="A821" s="8"/>
      <c r="B821" s="278"/>
      <c r="C821" s="278"/>
      <c r="D821" s="8"/>
      <c r="E821" s="278"/>
      <c r="F821" s="278"/>
      <c r="G821" s="278"/>
      <c r="H821" s="278"/>
      <c r="I821" s="278"/>
      <c r="J821" s="27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278"/>
      <c r="AE821" s="8"/>
      <c r="AF821" s="8"/>
      <c r="AG821" s="8"/>
    </row>
    <row r="822" ht="13.5" customHeight="1">
      <c r="A822" s="8"/>
      <c r="B822" s="278"/>
      <c r="C822" s="278"/>
      <c r="D822" s="8"/>
      <c r="E822" s="278"/>
      <c r="F822" s="278"/>
      <c r="G822" s="278"/>
      <c r="H822" s="278"/>
      <c r="I822" s="278"/>
      <c r="J822" s="27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278"/>
      <c r="AE822" s="8"/>
      <c r="AF822" s="8"/>
      <c r="AG822" s="8"/>
    </row>
    <row r="823" ht="13.5" customHeight="1">
      <c r="A823" s="8"/>
      <c r="B823" s="278"/>
      <c r="C823" s="278"/>
      <c r="D823" s="8"/>
      <c r="E823" s="278"/>
      <c r="F823" s="278"/>
      <c r="G823" s="278"/>
      <c r="H823" s="278"/>
      <c r="I823" s="278"/>
      <c r="J823" s="27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278"/>
      <c r="AE823" s="8"/>
      <c r="AF823" s="8"/>
      <c r="AG823" s="8"/>
    </row>
    <row r="824" ht="13.5" customHeight="1">
      <c r="A824" s="8"/>
      <c r="B824" s="278"/>
      <c r="C824" s="278"/>
      <c r="D824" s="8"/>
      <c r="E824" s="278"/>
      <c r="F824" s="278"/>
      <c r="G824" s="278"/>
      <c r="H824" s="278"/>
      <c r="I824" s="278"/>
      <c r="J824" s="27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278"/>
      <c r="AE824" s="8"/>
      <c r="AF824" s="8"/>
      <c r="AG824" s="8"/>
    </row>
    <row r="825" ht="13.5" customHeight="1">
      <c r="A825" s="8"/>
      <c r="B825" s="278"/>
      <c r="C825" s="278"/>
      <c r="D825" s="8"/>
      <c r="E825" s="278"/>
      <c r="F825" s="278"/>
      <c r="G825" s="278"/>
      <c r="H825" s="278"/>
      <c r="I825" s="278"/>
      <c r="J825" s="27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278"/>
      <c r="AE825" s="8"/>
      <c r="AF825" s="8"/>
      <c r="AG825" s="8"/>
    </row>
    <row r="826" ht="13.5" customHeight="1">
      <c r="A826" s="8"/>
      <c r="B826" s="278"/>
      <c r="C826" s="278"/>
      <c r="D826" s="8"/>
      <c r="E826" s="278"/>
      <c r="F826" s="278"/>
      <c r="G826" s="278"/>
      <c r="H826" s="278"/>
      <c r="I826" s="278"/>
      <c r="J826" s="27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278"/>
      <c r="AE826" s="8"/>
      <c r="AF826" s="8"/>
      <c r="AG826" s="8"/>
    </row>
    <row r="827" ht="13.5" customHeight="1">
      <c r="A827" s="8"/>
      <c r="B827" s="278"/>
      <c r="C827" s="278"/>
      <c r="D827" s="8"/>
      <c r="E827" s="278"/>
      <c r="F827" s="278"/>
      <c r="G827" s="278"/>
      <c r="H827" s="278"/>
      <c r="I827" s="278"/>
      <c r="J827" s="27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278"/>
      <c r="AE827" s="8"/>
      <c r="AF827" s="8"/>
      <c r="AG827" s="8"/>
    </row>
    <row r="828" ht="13.5" customHeight="1">
      <c r="A828" s="8"/>
      <c r="B828" s="278"/>
      <c r="C828" s="278"/>
      <c r="D828" s="8"/>
      <c r="E828" s="278"/>
      <c r="F828" s="278"/>
      <c r="G828" s="278"/>
      <c r="H828" s="278"/>
      <c r="I828" s="278"/>
      <c r="J828" s="27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278"/>
      <c r="AE828" s="8"/>
      <c r="AF828" s="8"/>
      <c r="AG828" s="8"/>
    </row>
    <row r="829" ht="13.5" customHeight="1">
      <c r="A829" s="8"/>
      <c r="B829" s="278"/>
      <c r="C829" s="278"/>
      <c r="D829" s="8"/>
      <c r="E829" s="278"/>
      <c r="F829" s="278"/>
      <c r="G829" s="278"/>
      <c r="H829" s="278"/>
      <c r="I829" s="278"/>
      <c r="J829" s="27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278"/>
      <c r="AE829" s="8"/>
      <c r="AF829" s="8"/>
      <c r="AG829" s="8"/>
    </row>
    <row r="830" ht="13.5" customHeight="1">
      <c r="A830" s="8"/>
      <c r="B830" s="278"/>
      <c r="C830" s="278"/>
      <c r="D830" s="8"/>
      <c r="E830" s="278"/>
      <c r="F830" s="278"/>
      <c r="G830" s="278"/>
      <c r="H830" s="278"/>
      <c r="I830" s="278"/>
      <c r="J830" s="27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278"/>
      <c r="AE830" s="8"/>
      <c r="AF830" s="8"/>
      <c r="AG830" s="8"/>
    </row>
    <row r="831" ht="13.5" customHeight="1">
      <c r="A831" s="8"/>
      <c r="B831" s="278"/>
      <c r="C831" s="278"/>
      <c r="D831" s="8"/>
      <c r="E831" s="278"/>
      <c r="F831" s="278"/>
      <c r="G831" s="278"/>
      <c r="H831" s="278"/>
      <c r="I831" s="278"/>
      <c r="J831" s="27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278"/>
      <c r="AE831" s="8"/>
      <c r="AF831" s="8"/>
      <c r="AG831" s="8"/>
    </row>
    <row r="832" ht="13.5" customHeight="1">
      <c r="A832" s="8"/>
      <c r="B832" s="278"/>
      <c r="C832" s="278"/>
      <c r="D832" s="8"/>
      <c r="E832" s="278"/>
      <c r="F832" s="278"/>
      <c r="G832" s="278"/>
      <c r="H832" s="278"/>
      <c r="I832" s="278"/>
      <c r="J832" s="27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278"/>
      <c r="AE832" s="8"/>
      <c r="AF832" s="8"/>
      <c r="AG832" s="8"/>
    </row>
    <row r="833" ht="13.5" customHeight="1">
      <c r="A833" s="8"/>
      <c r="B833" s="278"/>
      <c r="C833" s="278"/>
      <c r="D833" s="8"/>
      <c r="E833" s="278"/>
      <c r="F833" s="278"/>
      <c r="G833" s="278"/>
      <c r="H833" s="278"/>
      <c r="I833" s="278"/>
      <c r="J833" s="27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278"/>
      <c r="AE833" s="8"/>
      <c r="AF833" s="8"/>
      <c r="AG833" s="8"/>
    </row>
    <row r="834" ht="13.5" customHeight="1">
      <c r="A834" s="8"/>
      <c r="B834" s="278"/>
      <c r="C834" s="278"/>
      <c r="D834" s="8"/>
      <c r="E834" s="278"/>
      <c r="F834" s="278"/>
      <c r="G834" s="278"/>
      <c r="H834" s="278"/>
      <c r="I834" s="278"/>
      <c r="J834" s="27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278"/>
      <c r="AE834" s="8"/>
      <c r="AF834" s="8"/>
      <c r="AG834" s="8"/>
    </row>
    <row r="835" ht="13.5" customHeight="1">
      <c r="A835" s="8"/>
      <c r="B835" s="278"/>
      <c r="C835" s="278"/>
      <c r="D835" s="8"/>
      <c r="E835" s="278"/>
      <c r="F835" s="278"/>
      <c r="G835" s="278"/>
      <c r="H835" s="278"/>
      <c r="I835" s="278"/>
      <c r="J835" s="27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278"/>
      <c r="AE835" s="8"/>
      <c r="AF835" s="8"/>
      <c r="AG835" s="8"/>
    </row>
    <row r="836" ht="13.5" customHeight="1">
      <c r="A836" s="8"/>
      <c r="B836" s="278"/>
      <c r="C836" s="278"/>
      <c r="D836" s="8"/>
      <c r="E836" s="278"/>
      <c r="F836" s="278"/>
      <c r="G836" s="278"/>
      <c r="H836" s="278"/>
      <c r="I836" s="278"/>
      <c r="J836" s="27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278"/>
      <c r="AE836" s="8"/>
      <c r="AF836" s="8"/>
      <c r="AG836" s="8"/>
    </row>
    <row r="837" ht="13.5" customHeight="1">
      <c r="A837" s="8"/>
      <c r="B837" s="278"/>
      <c r="C837" s="278"/>
      <c r="D837" s="8"/>
      <c r="E837" s="278"/>
      <c r="F837" s="278"/>
      <c r="G837" s="278"/>
      <c r="H837" s="278"/>
      <c r="I837" s="278"/>
      <c r="J837" s="27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278"/>
      <c r="AE837" s="8"/>
      <c r="AF837" s="8"/>
      <c r="AG837" s="8"/>
    </row>
    <row r="838" ht="13.5" customHeight="1">
      <c r="A838" s="8"/>
      <c r="B838" s="278"/>
      <c r="C838" s="278"/>
      <c r="D838" s="8"/>
      <c r="E838" s="278"/>
      <c r="F838" s="278"/>
      <c r="G838" s="278"/>
      <c r="H838" s="278"/>
      <c r="I838" s="278"/>
      <c r="J838" s="27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278"/>
      <c r="AE838" s="8"/>
      <c r="AF838" s="8"/>
      <c r="AG838" s="8"/>
    </row>
    <row r="839" ht="13.5" customHeight="1">
      <c r="A839" s="8"/>
      <c r="B839" s="278"/>
      <c r="C839" s="278"/>
      <c r="D839" s="8"/>
      <c r="E839" s="278"/>
      <c r="F839" s="278"/>
      <c r="G839" s="278"/>
      <c r="H839" s="278"/>
      <c r="I839" s="278"/>
      <c r="J839" s="27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278"/>
      <c r="AE839" s="8"/>
      <c r="AF839" s="8"/>
      <c r="AG839" s="8"/>
    </row>
    <row r="840" ht="13.5" customHeight="1">
      <c r="A840" s="8"/>
      <c r="B840" s="278"/>
      <c r="C840" s="278"/>
      <c r="D840" s="8"/>
      <c r="E840" s="278"/>
      <c r="F840" s="278"/>
      <c r="G840" s="278"/>
      <c r="H840" s="278"/>
      <c r="I840" s="278"/>
      <c r="J840" s="27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278"/>
      <c r="AE840" s="8"/>
      <c r="AF840" s="8"/>
      <c r="AG840" s="8"/>
    </row>
    <row r="841" ht="13.5" customHeight="1">
      <c r="A841" s="8"/>
      <c r="B841" s="278"/>
      <c r="C841" s="278"/>
      <c r="D841" s="8"/>
      <c r="E841" s="278"/>
      <c r="F841" s="278"/>
      <c r="G841" s="278"/>
      <c r="H841" s="278"/>
      <c r="I841" s="278"/>
      <c r="J841" s="27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278"/>
      <c r="AE841" s="8"/>
      <c r="AF841" s="8"/>
      <c r="AG841" s="8"/>
    </row>
    <row r="842" ht="13.5" customHeight="1">
      <c r="A842" s="8"/>
      <c r="B842" s="278"/>
      <c r="C842" s="278"/>
      <c r="D842" s="8"/>
      <c r="E842" s="278"/>
      <c r="F842" s="278"/>
      <c r="G842" s="278"/>
      <c r="H842" s="278"/>
      <c r="I842" s="278"/>
      <c r="J842" s="27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278"/>
      <c r="AE842" s="8"/>
      <c r="AF842" s="8"/>
      <c r="AG842" s="8"/>
    </row>
    <row r="843" ht="13.5" customHeight="1">
      <c r="A843" s="8"/>
      <c r="B843" s="278"/>
      <c r="C843" s="278"/>
      <c r="D843" s="8"/>
      <c r="E843" s="278"/>
      <c r="F843" s="278"/>
      <c r="G843" s="278"/>
      <c r="H843" s="278"/>
      <c r="I843" s="278"/>
      <c r="J843" s="27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278"/>
      <c r="AE843" s="8"/>
      <c r="AF843" s="8"/>
      <c r="AG843" s="8"/>
    </row>
    <row r="844" ht="13.5" customHeight="1">
      <c r="A844" s="8"/>
      <c r="B844" s="278"/>
      <c r="C844" s="278"/>
      <c r="D844" s="8"/>
      <c r="E844" s="278"/>
      <c r="F844" s="278"/>
      <c r="G844" s="278"/>
      <c r="H844" s="278"/>
      <c r="I844" s="278"/>
      <c r="J844" s="27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278"/>
      <c r="AE844" s="8"/>
      <c r="AF844" s="8"/>
      <c r="AG844" s="8"/>
    </row>
    <row r="845" ht="13.5" customHeight="1">
      <c r="A845" s="8"/>
      <c r="B845" s="278"/>
      <c r="C845" s="278"/>
      <c r="D845" s="8"/>
      <c r="E845" s="278"/>
      <c r="F845" s="278"/>
      <c r="G845" s="278"/>
      <c r="H845" s="278"/>
      <c r="I845" s="278"/>
      <c r="J845" s="27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278"/>
      <c r="AE845" s="8"/>
      <c r="AF845" s="8"/>
      <c r="AG845" s="8"/>
    </row>
    <row r="846" ht="13.5" customHeight="1">
      <c r="A846" s="8"/>
      <c r="B846" s="278"/>
      <c r="C846" s="278"/>
      <c r="D846" s="8"/>
      <c r="E846" s="278"/>
      <c r="F846" s="278"/>
      <c r="G846" s="278"/>
      <c r="H846" s="278"/>
      <c r="I846" s="278"/>
      <c r="J846" s="27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278"/>
      <c r="AE846" s="8"/>
      <c r="AF846" s="8"/>
      <c r="AG846" s="8"/>
    </row>
    <row r="847" ht="13.5" customHeight="1">
      <c r="A847" s="8"/>
      <c r="B847" s="278"/>
      <c r="C847" s="278"/>
      <c r="D847" s="8"/>
      <c r="E847" s="278"/>
      <c r="F847" s="278"/>
      <c r="G847" s="278"/>
      <c r="H847" s="278"/>
      <c r="I847" s="278"/>
      <c r="J847" s="27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278"/>
      <c r="AE847" s="8"/>
      <c r="AF847" s="8"/>
      <c r="AG847" s="8"/>
    </row>
    <row r="848" ht="13.5" customHeight="1">
      <c r="A848" s="8"/>
      <c r="B848" s="278"/>
      <c r="C848" s="278"/>
      <c r="D848" s="8"/>
      <c r="E848" s="278"/>
      <c r="F848" s="278"/>
      <c r="G848" s="278"/>
      <c r="H848" s="278"/>
      <c r="I848" s="278"/>
      <c r="J848" s="27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278"/>
      <c r="AE848" s="8"/>
      <c r="AF848" s="8"/>
      <c r="AG848" s="8"/>
    </row>
    <row r="849" ht="13.5" customHeight="1">
      <c r="A849" s="8"/>
      <c r="B849" s="278"/>
      <c r="C849" s="278"/>
      <c r="D849" s="8"/>
      <c r="E849" s="278"/>
      <c r="F849" s="278"/>
      <c r="G849" s="278"/>
      <c r="H849" s="278"/>
      <c r="I849" s="278"/>
      <c r="J849" s="27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278"/>
      <c r="AE849" s="8"/>
      <c r="AF849" s="8"/>
      <c r="AG849" s="8"/>
    </row>
    <row r="850" ht="13.5" customHeight="1">
      <c r="A850" s="8"/>
      <c r="B850" s="278"/>
      <c r="C850" s="278"/>
      <c r="D850" s="8"/>
      <c r="E850" s="278"/>
      <c r="F850" s="278"/>
      <c r="G850" s="278"/>
      <c r="H850" s="278"/>
      <c r="I850" s="278"/>
      <c r="J850" s="27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278"/>
      <c r="AE850" s="8"/>
      <c r="AF850" s="8"/>
      <c r="AG850" s="8"/>
    </row>
    <row r="851" ht="13.5" customHeight="1">
      <c r="A851" s="8"/>
      <c r="B851" s="278"/>
      <c r="C851" s="278"/>
      <c r="D851" s="8"/>
      <c r="E851" s="278"/>
      <c r="F851" s="278"/>
      <c r="G851" s="278"/>
      <c r="H851" s="278"/>
      <c r="I851" s="278"/>
      <c r="J851" s="27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278"/>
      <c r="AE851" s="8"/>
      <c r="AF851" s="8"/>
      <c r="AG851" s="8"/>
    </row>
    <row r="852" ht="13.5" customHeight="1">
      <c r="A852" s="8"/>
      <c r="B852" s="278"/>
      <c r="C852" s="278"/>
      <c r="D852" s="8"/>
      <c r="E852" s="278"/>
      <c r="F852" s="278"/>
      <c r="G852" s="278"/>
      <c r="H852" s="278"/>
      <c r="I852" s="278"/>
      <c r="J852" s="27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278"/>
      <c r="AE852" s="8"/>
      <c r="AF852" s="8"/>
      <c r="AG852" s="8"/>
    </row>
    <row r="853" ht="13.5" customHeight="1">
      <c r="A853" s="8"/>
      <c r="B853" s="278"/>
      <c r="C853" s="278"/>
      <c r="D853" s="8"/>
      <c r="E853" s="278"/>
      <c r="F853" s="278"/>
      <c r="G853" s="278"/>
      <c r="H853" s="278"/>
      <c r="I853" s="278"/>
      <c r="J853" s="27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278"/>
      <c r="AE853" s="8"/>
      <c r="AF853" s="8"/>
      <c r="AG853" s="8"/>
    </row>
    <row r="854" ht="13.5" customHeight="1">
      <c r="A854" s="8"/>
      <c r="B854" s="278"/>
      <c r="C854" s="278"/>
      <c r="D854" s="8"/>
      <c r="E854" s="278"/>
      <c r="F854" s="278"/>
      <c r="G854" s="278"/>
      <c r="H854" s="278"/>
      <c r="I854" s="278"/>
      <c r="J854" s="27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278"/>
      <c r="AE854" s="8"/>
      <c r="AF854" s="8"/>
      <c r="AG854" s="8"/>
    </row>
    <row r="855" ht="13.5" customHeight="1">
      <c r="A855" s="8"/>
      <c r="B855" s="278"/>
      <c r="C855" s="278"/>
      <c r="D855" s="8"/>
      <c r="E855" s="278"/>
      <c r="F855" s="278"/>
      <c r="G855" s="278"/>
      <c r="H855" s="278"/>
      <c r="I855" s="278"/>
      <c r="J855" s="27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278"/>
      <c r="AE855" s="8"/>
      <c r="AF855" s="8"/>
      <c r="AG855" s="8"/>
    </row>
    <row r="856" ht="13.5" customHeight="1">
      <c r="A856" s="8"/>
      <c r="B856" s="278"/>
      <c r="C856" s="278"/>
      <c r="D856" s="8"/>
      <c r="E856" s="278"/>
      <c r="F856" s="278"/>
      <c r="G856" s="278"/>
      <c r="H856" s="278"/>
      <c r="I856" s="278"/>
      <c r="J856" s="27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278"/>
      <c r="AE856" s="8"/>
      <c r="AF856" s="8"/>
      <c r="AG856" s="8"/>
    </row>
    <row r="857" ht="13.5" customHeight="1">
      <c r="A857" s="8"/>
      <c r="B857" s="278"/>
      <c r="C857" s="278"/>
      <c r="D857" s="8"/>
      <c r="E857" s="278"/>
      <c r="F857" s="278"/>
      <c r="G857" s="278"/>
      <c r="H857" s="278"/>
      <c r="I857" s="278"/>
      <c r="J857" s="27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278"/>
      <c r="AE857" s="8"/>
      <c r="AF857" s="8"/>
      <c r="AG857" s="8"/>
    </row>
    <row r="858" ht="13.5" customHeight="1">
      <c r="A858" s="8"/>
      <c r="B858" s="278"/>
      <c r="C858" s="278"/>
      <c r="D858" s="8"/>
      <c r="E858" s="278"/>
      <c r="F858" s="278"/>
      <c r="G858" s="278"/>
      <c r="H858" s="278"/>
      <c r="I858" s="278"/>
      <c r="J858" s="27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278"/>
      <c r="AE858" s="8"/>
      <c r="AF858" s="8"/>
      <c r="AG858" s="8"/>
    </row>
    <row r="859" ht="13.5" customHeight="1">
      <c r="A859" s="8"/>
      <c r="B859" s="278"/>
      <c r="C859" s="278"/>
      <c r="D859" s="8"/>
      <c r="E859" s="278"/>
      <c r="F859" s="278"/>
      <c r="G859" s="278"/>
      <c r="H859" s="278"/>
      <c r="I859" s="278"/>
      <c r="J859" s="27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278"/>
      <c r="AE859" s="8"/>
      <c r="AF859" s="8"/>
      <c r="AG859" s="8"/>
    </row>
    <row r="860" ht="13.5" customHeight="1">
      <c r="A860" s="8"/>
      <c r="B860" s="278"/>
      <c r="C860" s="278"/>
      <c r="D860" s="8"/>
      <c r="E860" s="278"/>
      <c r="F860" s="278"/>
      <c r="G860" s="278"/>
      <c r="H860" s="278"/>
      <c r="I860" s="278"/>
      <c r="J860" s="27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278"/>
      <c r="AE860" s="8"/>
      <c r="AF860" s="8"/>
      <c r="AG860" s="8"/>
    </row>
    <row r="861" ht="13.5" customHeight="1">
      <c r="A861" s="8"/>
      <c r="B861" s="278"/>
      <c r="C861" s="278"/>
      <c r="D861" s="8"/>
      <c r="E861" s="278"/>
      <c r="F861" s="278"/>
      <c r="G861" s="278"/>
      <c r="H861" s="278"/>
      <c r="I861" s="278"/>
      <c r="J861" s="27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278"/>
      <c r="AE861" s="8"/>
      <c r="AF861" s="8"/>
      <c r="AG861" s="8"/>
    </row>
    <row r="862" ht="13.5" customHeight="1">
      <c r="A862" s="8"/>
      <c r="B862" s="278"/>
      <c r="C862" s="278"/>
      <c r="D862" s="8"/>
      <c r="E862" s="278"/>
      <c r="F862" s="278"/>
      <c r="G862" s="278"/>
      <c r="H862" s="278"/>
      <c r="I862" s="278"/>
      <c r="J862" s="27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278"/>
      <c r="AE862" s="8"/>
      <c r="AF862" s="8"/>
      <c r="AG862" s="8"/>
    </row>
    <row r="863" ht="13.5" customHeight="1">
      <c r="A863" s="8"/>
      <c r="B863" s="278"/>
      <c r="C863" s="278"/>
      <c r="D863" s="8"/>
      <c r="E863" s="278"/>
      <c r="F863" s="278"/>
      <c r="G863" s="278"/>
      <c r="H863" s="278"/>
      <c r="I863" s="278"/>
      <c r="J863" s="27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278"/>
      <c r="AE863" s="8"/>
      <c r="AF863" s="8"/>
      <c r="AG863" s="8"/>
    </row>
    <row r="864" ht="13.5" customHeight="1">
      <c r="A864" s="8"/>
      <c r="B864" s="278"/>
      <c r="C864" s="278"/>
      <c r="D864" s="8"/>
      <c r="E864" s="278"/>
      <c r="F864" s="278"/>
      <c r="G864" s="278"/>
      <c r="H864" s="278"/>
      <c r="I864" s="278"/>
      <c r="J864" s="27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278"/>
      <c r="AE864" s="8"/>
      <c r="AF864" s="8"/>
      <c r="AG864" s="8"/>
    </row>
    <row r="865" ht="13.5" customHeight="1">
      <c r="A865" s="8"/>
      <c r="B865" s="278"/>
      <c r="C865" s="278"/>
      <c r="D865" s="8"/>
      <c r="E865" s="278"/>
      <c r="F865" s="278"/>
      <c r="G865" s="278"/>
      <c r="H865" s="278"/>
      <c r="I865" s="278"/>
      <c r="J865" s="27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278"/>
      <c r="AE865" s="8"/>
      <c r="AF865" s="8"/>
      <c r="AG865" s="8"/>
    </row>
    <row r="866" ht="13.5" customHeight="1">
      <c r="A866" s="8"/>
      <c r="B866" s="278"/>
      <c r="C866" s="278"/>
      <c r="D866" s="8"/>
      <c r="E866" s="278"/>
      <c r="F866" s="278"/>
      <c r="G866" s="278"/>
      <c r="H866" s="278"/>
      <c r="I866" s="278"/>
      <c r="J866" s="27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278"/>
      <c r="AE866" s="8"/>
      <c r="AF866" s="8"/>
      <c r="AG866" s="8"/>
    </row>
    <row r="867" ht="13.5" customHeight="1">
      <c r="A867" s="8"/>
      <c r="B867" s="278"/>
      <c r="C867" s="278"/>
      <c r="D867" s="8"/>
      <c r="E867" s="278"/>
      <c r="F867" s="278"/>
      <c r="G867" s="278"/>
      <c r="H867" s="278"/>
      <c r="I867" s="278"/>
      <c r="J867" s="27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278"/>
      <c r="AE867" s="8"/>
      <c r="AF867" s="8"/>
      <c r="AG867" s="8"/>
    </row>
    <row r="868" ht="13.5" customHeight="1">
      <c r="A868" s="8"/>
      <c r="B868" s="278"/>
      <c r="C868" s="278"/>
      <c r="D868" s="8"/>
      <c r="E868" s="278"/>
      <c r="F868" s="278"/>
      <c r="G868" s="278"/>
      <c r="H868" s="278"/>
      <c r="I868" s="278"/>
      <c r="J868" s="27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278"/>
      <c r="AE868" s="8"/>
      <c r="AF868" s="8"/>
      <c r="AG868" s="8"/>
    </row>
    <row r="869" ht="13.5" customHeight="1">
      <c r="A869" s="8"/>
      <c r="B869" s="278"/>
      <c r="C869" s="278"/>
      <c r="D869" s="8"/>
      <c r="E869" s="278"/>
      <c r="F869" s="278"/>
      <c r="G869" s="278"/>
      <c r="H869" s="278"/>
      <c r="I869" s="278"/>
      <c r="J869" s="27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278"/>
      <c r="AE869" s="8"/>
      <c r="AF869" s="8"/>
      <c r="AG869" s="8"/>
    </row>
    <row r="870" ht="13.5" customHeight="1">
      <c r="A870" s="8"/>
      <c r="B870" s="278"/>
      <c r="C870" s="278"/>
      <c r="D870" s="8"/>
      <c r="E870" s="278"/>
      <c r="F870" s="278"/>
      <c r="G870" s="278"/>
      <c r="H870" s="278"/>
      <c r="I870" s="278"/>
      <c r="J870" s="27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278"/>
      <c r="AE870" s="8"/>
      <c r="AF870" s="8"/>
      <c r="AG870" s="8"/>
    </row>
    <row r="871" ht="13.5" customHeight="1">
      <c r="A871" s="8"/>
      <c r="B871" s="278"/>
      <c r="C871" s="278"/>
      <c r="D871" s="8"/>
      <c r="E871" s="278"/>
      <c r="F871" s="278"/>
      <c r="G871" s="278"/>
      <c r="H871" s="278"/>
      <c r="I871" s="278"/>
      <c r="J871" s="27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278"/>
      <c r="AE871" s="8"/>
      <c r="AF871" s="8"/>
      <c r="AG871" s="8"/>
    </row>
    <row r="872" ht="13.5" customHeight="1">
      <c r="A872" s="8"/>
      <c r="B872" s="278"/>
      <c r="C872" s="278"/>
      <c r="D872" s="8"/>
      <c r="E872" s="278"/>
      <c r="F872" s="278"/>
      <c r="G872" s="278"/>
      <c r="H872" s="278"/>
      <c r="I872" s="278"/>
      <c r="J872" s="27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278"/>
      <c r="AE872" s="8"/>
      <c r="AF872" s="8"/>
      <c r="AG872" s="8"/>
    </row>
    <row r="873" ht="13.5" customHeight="1">
      <c r="A873" s="8"/>
      <c r="B873" s="278"/>
      <c r="C873" s="278"/>
      <c r="D873" s="8"/>
      <c r="E873" s="278"/>
      <c r="F873" s="278"/>
      <c r="G873" s="278"/>
      <c r="H873" s="278"/>
      <c r="I873" s="278"/>
      <c r="J873" s="27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278"/>
      <c r="AE873" s="8"/>
      <c r="AF873" s="8"/>
      <c r="AG873" s="8"/>
    </row>
    <row r="874" ht="13.5" customHeight="1">
      <c r="A874" s="8"/>
      <c r="B874" s="278"/>
      <c r="C874" s="278"/>
      <c r="D874" s="8"/>
      <c r="E874" s="278"/>
      <c r="F874" s="278"/>
      <c r="G874" s="278"/>
      <c r="H874" s="278"/>
      <c r="I874" s="278"/>
      <c r="J874" s="27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278"/>
      <c r="AE874" s="8"/>
      <c r="AF874" s="8"/>
      <c r="AG874" s="8"/>
    </row>
    <row r="875" ht="13.5" customHeight="1">
      <c r="A875" s="8"/>
      <c r="B875" s="278"/>
      <c r="C875" s="278"/>
      <c r="D875" s="8"/>
      <c r="E875" s="278"/>
      <c r="F875" s="278"/>
      <c r="G875" s="278"/>
      <c r="H875" s="278"/>
      <c r="I875" s="278"/>
      <c r="J875" s="27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278"/>
      <c r="AE875" s="8"/>
      <c r="AF875" s="8"/>
      <c r="AG875" s="8"/>
    </row>
    <row r="876" ht="13.5" customHeight="1">
      <c r="A876" s="8"/>
      <c r="B876" s="278"/>
      <c r="C876" s="278"/>
      <c r="D876" s="8"/>
      <c r="E876" s="278"/>
      <c r="F876" s="278"/>
      <c r="G876" s="278"/>
      <c r="H876" s="278"/>
      <c r="I876" s="278"/>
      <c r="J876" s="27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278"/>
      <c r="AE876" s="8"/>
      <c r="AF876" s="8"/>
      <c r="AG876" s="8"/>
    </row>
    <row r="877" ht="13.5" customHeight="1">
      <c r="A877" s="8"/>
      <c r="B877" s="278"/>
      <c r="C877" s="278"/>
      <c r="D877" s="8"/>
      <c r="E877" s="278"/>
      <c r="F877" s="278"/>
      <c r="G877" s="278"/>
      <c r="H877" s="278"/>
      <c r="I877" s="278"/>
      <c r="J877" s="27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278"/>
      <c r="AE877" s="8"/>
      <c r="AF877" s="8"/>
      <c r="AG877" s="8"/>
    </row>
    <row r="878" ht="13.5" customHeight="1">
      <c r="A878" s="8"/>
      <c r="B878" s="278"/>
      <c r="C878" s="278"/>
      <c r="D878" s="8"/>
      <c r="E878" s="278"/>
      <c r="F878" s="278"/>
      <c r="G878" s="278"/>
      <c r="H878" s="278"/>
      <c r="I878" s="278"/>
      <c r="J878" s="27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278"/>
      <c r="AE878" s="8"/>
      <c r="AF878" s="8"/>
      <c r="AG878" s="8"/>
    </row>
    <row r="879" ht="13.5" customHeight="1">
      <c r="A879" s="8"/>
      <c r="B879" s="278"/>
      <c r="C879" s="278"/>
      <c r="D879" s="8"/>
      <c r="E879" s="278"/>
      <c r="F879" s="278"/>
      <c r="G879" s="278"/>
      <c r="H879" s="278"/>
      <c r="I879" s="278"/>
      <c r="J879" s="27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278"/>
      <c r="AE879" s="8"/>
      <c r="AF879" s="8"/>
      <c r="AG879" s="8"/>
    </row>
    <row r="880" ht="13.5" customHeight="1">
      <c r="A880" s="8"/>
      <c r="B880" s="278"/>
      <c r="C880" s="278"/>
      <c r="D880" s="8"/>
      <c r="E880" s="278"/>
      <c r="F880" s="278"/>
      <c r="G880" s="278"/>
      <c r="H880" s="278"/>
      <c r="I880" s="278"/>
      <c r="J880" s="27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278"/>
      <c r="AE880" s="8"/>
      <c r="AF880" s="8"/>
      <c r="AG880" s="8"/>
    </row>
    <row r="881" ht="13.5" customHeight="1">
      <c r="A881" s="8"/>
      <c r="B881" s="278"/>
      <c r="C881" s="278"/>
      <c r="D881" s="8"/>
      <c r="E881" s="278"/>
      <c r="F881" s="278"/>
      <c r="G881" s="278"/>
      <c r="H881" s="278"/>
      <c r="I881" s="278"/>
      <c r="J881" s="27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278"/>
      <c r="AE881" s="8"/>
      <c r="AF881" s="8"/>
      <c r="AG881" s="8"/>
    </row>
    <row r="882" ht="13.5" customHeight="1">
      <c r="A882" s="8"/>
      <c r="B882" s="278"/>
      <c r="C882" s="278"/>
      <c r="D882" s="8"/>
      <c r="E882" s="278"/>
      <c r="F882" s="278"/>
      <c r="G882" s="278"/>
      <c r="H882" s="278"/>
      <c r="I882" s="278"/>
      <c r="J882" s="27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278"/>
      <c r="AE882" s="8"/>
      <c r="AF882" s="8"/>
      <c r="AG882" s="8"/>
    </row>
    <row r="883" ht="13.5" customHeight="1">
      <c r="A883" s="8"/>
      <c r="B883" s="278"/>
      <c r="C883" s="278"/>
      <c r="D883" s="8"/>
      <c r="E883" s="278"/>
      <c r="F883" s="278"/>
      <c r="G883" s="278"/>
      <c r="H883" s="278"/>
      <c r="I883" s="278"/>
      <c r="J883" s="27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278"/>
      <c r="AE883" s="8"/>
      <c r="AF883" s="8"/>
      <c r="AG883" s="8"/>
    </row>
    <row r="884" ht="13.5" customHeight="1">
      <c r="A884" s="8"/>
      <c r="B884" s="278"/>
      <c r="C884" s="278"/>
      <c r="D884" s="8"/>
      <c r="E884" s="278"/>
      <c r="F884" s="278"/>
      <c r="G884" s="278"/>
      <c r="H884" s="278"/>
      <c r="I884" s="278"/>
      <c r="J884" s="27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278"/>
      <c r="AE884" s="8"/>
      <c r="AF884" s="8"/>
      <c r="AG884" s="8"/>
    </row>
    <row r="885" ht="13.5" customHeight="1">
      <c r="A885" s="8"/>
      <c r="B885" s="278"/>
      <c r="C885" s="278"/>
      <c r="D885" s="8"/>
      <c r="E885" s="278"/>
      <c r="F885" s="278"/>
      <c r="G885" s="278"/>
      <c r="H885" s="278"/>
      <c r="I885" s="278"/>
      <c r="J885" s="27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278"/>
      <c r="AE885" s="8"/>
      <c r="AF885" s="8"/>
      <c r="AG885" s="8"/>
    </row>
    <row r="886" ht="13.5" customHeight="1">
      <c r="A886" s="8"/>
      <c r="B886" s="278"/>
      <c r="C886" s="278"/>
      <c r="D886" s="8"/>
      <c r="E886" s="278"/>
      <c r="F886" s="278"/>
      <c r="G886" s="278"/>
      <c r="H886" s="278"/>
      <c r="I886" s="278"/>
      <c r="J886" s="27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278"/>
      <c r="AE886" s="8"/>
      <c r="AF886" s="8"/>
      <c r="AG886" s="8"/>
    </row>
    <row r="887" ht="13.5" customHeight="1">
      <c r="A887" s="8"/>
      <c r="B887" s="278"/>
      <c r="C887" s="278"/>
      <c r="D887" s="8"/>
      <c r="E887" s="278"/>
      <c r="F887" s="278"/>
      <c r="G887" s="278"/>
      <c r="H887" s="278"/>
      <c r="I887" s="278"/>
      <c r="J887" s="27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278"/>
      <c r="AE887" s="8"/>
      <c r="AF887" s="8"/>
      <c r="AG887" s="8"/>
    </row>
    <row r="888" ht="13.5" customHeight="1">
      <c r="A888" s="8"/>
      <c r="B888" s="278"/>
      <c r="C888" s="278"/>
      <c r="D888" s="8"/>
      <c r="E888" s="278"/>
      <c r="F888" s="278"/>
      <c r="G888" s="278"/>
      <c r="H888" s="278"/>
      <c r="I888" s="278"/>
      <c r="J888" s="27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278"/>
      <c r="AE888" s="8"/>
      <c r="AF888" s="8"/>
      <c r="AG888" s="8"/>
    </row>
    <row r="889" ht="13.5" customHeight="1">
      <c r="A889" s="8"/>
      <c r="B889" s="278"/>
      <c r="C889" s="278"/>
      <c r="D889" s="8"/>
      <c r="E889" s="278"/>
      <c r="F889" s="278"/>
      <c r="G889" s="278"/>
      <c r="H889" s="278"/>
      <c r="I889" s="278"/>
      <c r="J889" s="27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278"/>
      <c r="AE889" s="8"/>
      <c r="AF889" s="8"/>
      <c r="AG889" s="8"/>
    </row>
    <row r="890" ht="13.5" customHeight="1">
      <c r="A890" s="8"/>
      <c r="B890" s="278"/>
      <c r="C890" s="278"/>
      <c r="D890" s="8"/>
      <c r="E890" s="278"/>
      <c r="F890" s="278"/>
      <c r="G890" s="278"/>
      <c r="H890" s="278"/>
      <c r="I890" s="278"/>
      <c r="J890" s="27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278"/>
      <c r="AE890" s="8"/>
      <c r="AF890" s="8"/>
      <c r="AG890" s="8"/>
    </row>
    <row r="891" ht="13.5" customHeight="1">
      <c r="A891" s="8"/>
      <c r="B891" s="278"/>
      <c r="C891" s="278"/>
      <c r="D891" s="8"/>
      <c r="E891" s="278"/>
      <c r="F891" s="278"/>
      <c r="G891" s="278"/>
      <c r="H891" s="278"/>
      <c r="I891" s="278"/>
      <c r="J891" s="27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278"/>
      <c r="AE891" s="8"/>
      <c r="AF891" s="8"/>
      <c r="AG891" s="8"/>
    </row>
    <row r="892" ht="13.5" customHeight="1">
      <c r="A892" s="8"/>
      <c r="B892" s="278"/>
      <c r="C892" s="278"/>
      <c r="D892" s="8"/>
      <c r="E892" s="278"/>
      <c r="F892" s="278"/>
      <c r="G892" s="278"/>
      <c r="H892" s="278"/>
      <c r="I892" s="278"/>
      <c r="J892" s="27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278"/>
      <c r="AE892" s="8"/>
      <c r="AF892" s="8"/>
      <c r="AG892" s="8"/>
    </row>
    <row r="893" ht="13.5" customHeight="1">
      <c r="A893" s="8"/>
      <c r="B893" s="278"/>
      <c r="C893" s="278"/>
      <c r="D893" s="8"/>
      <c r="E893" s="278"/>
      <c r="F893" s="278"/>
      <c r="G893" s="278"/>
      <c r="H893" s="278"/>
      <c r="I893" s="278"/>
      <c r="J893" s="27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278"/>
      <c r="AE893" s="8"/>
      <c r="AF893" s="8"/>
      <c r="AG893" s="8"/>
    </row>
    <row r="894" ht="13.5" customHeight="1">
      <c r="A894" s="8"/>
      <c r="B894" s="278"/>
      <c r="C894" s="278"/>
      <c r="D894" s="8"/>
      <c r="E894" s="278"/>
      <c r="F894" s="278"/>
      <c r="G894" s="278"/>
      <c r="H894" s="278"/>
      <c r="I894" s="278"/>
      <c r="J894" s="27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278"/>
      <c r="AE894" s="8"/>
      <c r="AF894" s="8"/>
      <c r="AG894" s="8"/>
    </row>
    <row r="895" ht="13.5" customHeight="1">
      <c r="A895" s="8"/>
      <c r="B895" s="278"/>
      <c r="C895" s="278"/>
      <c r="D895" s="8"/>
      <c r="E895" s="278"/>
      <c r="F895" s="278"/>
      <c r="G895" s="278"/>
      <c r="H895" s="278"/>
      <c r="I895" s="278"/>
      <c r="J895" s="27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278"/>
      <c r="AE895" s="8"/>
      <c r="AF895" s="8"/>
      <c r="AG895" s="8"/>
    </row>
    <row r="896" ht="13.5" customHeight="1">
      <c r="A896" s="8"/>
      <c r="B896" s="278"/>
      <c r="C896" s="278"/>
      <c r="D896" s="8"/>
      <c r="E896" s="278"/>
      <c r="F896" s="278"/>
      <c r="G896" s="278"/>
      <c r="H896" s="278"/>
      <c r="I896" s="278"/>
      <c r="J896" s="27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278"/>
      <c r="AE896" s="8"/>
      <c r="AF896" s="8"/>
      <c r="AG896" s="8"/>
    </row>
    <row r="897" ht="13.5" customHeight="1">
      <c r="A897" s="8"/>
      <c r="B897" s="278"/>
      <c r="C897" s="278"/>
      <c r="D897" s="8"/>
      <c r="E897" s="278"/>
      <c r="F897" s="278"/>
      <c r="G897" s="278"/>
      <c r="H897" s="278"/>
      <c r="I897" s="278"/>
      <c r="J897" s="27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278"/>
      <c r="AE897" s="8"/>
      <c r="AF897" s="8"/>
      <c r="AG897" s="8"/>
    </row>
    <row r="898" ht="13.5" customHeight="1">
      <c r="A898" s="8"/>
      <c r="B898" s="278"/>
      <c r="C898" s="278"/>
      <c r="D898" s="8"/>
      <c r="E898" s="278"/>
      <c r="F898" s="278"/>
      <c r="G898" s="278"/>
      <c r="H898" s="278"/>
      <c r="I898" s="278"/>
      <c r="J898" s="27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278"/>
      <c r="AE898" s="8"/>
      <c r="AF898" s="8"/>
      <c r="AG898" s="8"/>
    </row>
    <row r="899" ht="13.5" customHeight="1">
      <c r="A899" s="8"/>
      <c r="B899" s="278"/>
      <c r="C899" s="278"/>
      <c r="D899" s="8"/>
      <c r="E899" s="278"/>
      <c r="F899" s="278"/>
      <c r="G899" s="278"/>
      <c r="H899" s="278"/>
      <c r="I899" s="278"/>
      <c r="J899" s="27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278"/>
      <c r="AE899" s="8"/>
      <c r="AF899" s="8"/>
      <c r="AG899" s="8"/>
    </row>
    <row r="900" ht="13.5" customHeight="1">
      <c r="A900" s="8"/>
      <c r="B900" s="278"/>
      <c r="C900" s="278"/>
      <c r="D900" s="8"/>
      <c r="E900" s="278"/>
      <c r="F900" s="278"/>
      <c r="G900" s="278"/>
      <c r="H900" s="278"/>
      <c r="I900" s="278"/>
      <c r="J900" s="27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278"/>
      <c r="AE900" s="8"/>
      <c r="AF900" s="8"/>
      <c r="AG900" s="8"/>
    </row>
    <row r="901" ht="13.5" customHeight="1">
      <c r="A901" s="8"/>
      <c r="B901" s="278"/>
      <c r="C901" s="278"/>
      <c r="D901" s="8"/>
      <c r="E901" s="278"/>
      <c r="F901" s="278"/>
      <c r="G901" s="278"/>
      <c r="H901" s="278"/>
      <c r="I901" s="278"/>
      <c r="J901" s="27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278"/>
      <c r="AE901" s="8"/>
      <c r="AF901" s="8"/>
      <c r="AG901" s="8"/>
    </row>
    <row r="902" ht="13.5" customHeight="1">
      <c r="A902" s="8"/>
      <c r="B902" s="278"/>
      <c r="C902" s="278"/>
      <c r="D902" s="8"/>
      <c r="E902" s="278"/>
      <c r="F902" s="278"/>
      <c r="G902" s="278"/>
      <c r="H902" s="278"/>
      <c r="I902" s="278"/>
      <c r="J902" s="27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278"/>
      <c r="AE902" s="8"/>
      <c r="AF902" s="8"/>
      <c r="AG902" s="8"/>
    </row>
    <row r="903" ht="13.5" customHeight="1">
      <c r="A903" s="8"/>
      <c r="B903" s="278"/>
      <c r="C903" s="278"/>
      <c r="D903" s="8"/>
      <c r="E903" s="278"/>
      <c r="F903" s="278"/>
      <c r="G903" s="278"/>
      <c r="H903" s="278"/>
      <c r="I903" s="278"/>
      <c r="J903" s="27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278"/>
      <c r="AE903" s="8"/>
      <c r="AF903" s="8"/>
      <c r="AG903" s="8"/>
    </row>
    <row r="904" ht="13.5" customHeight="1">
      <c r="A904" s="8"/>
      <c r="B904" s="278"/>
      <c r="C904" s="278"/>
      <c r="D904" s="8"/>
      <c r="E904" s="278"/>
      <c r="F904" s="278"/>
      <c r="G904" s="278"/>
      <c r="H904" s="278"/>
      <c r="I904" s="278"/>
      <c r="J904" s="27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278"/>
      <c r="AE904" s="8"/>
      <c r="AF904" s="8"/>
      <c r="AG904" s="8"/>
    </row>
    <row r="905" ht="13.5" customHeight="1">
      <c r="A905" s="8"/>
      <c r="B905" s="278"/>
      <c r="C905" s="278"/>
      <c r="D905" s="8"/>
      <c r="E905" s="278"/>
      <c r="F905" s="278"/>
      <c r="G905" s="278"/>
      <c r="H905" s="278"/>
      <c r="I905" s="278"/>
      <c r="J905" s="27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278"/>
      <c r="AE905" s="8"/>
      <c r="AF905" s="8"/>
      <c r="AG905" s="8"/>
    </row>
    <row r="906" ht="13.5" customHeight="1">
      <c r="A906" s="8"/>
      <c r="B906" s="278"/>
      <c r="C906" s="278"/>
      <c r="D906" s="8"/>
      <c r="E906" s="278"/>
      <c r="F906" s="278"/>
      <c r="G906" s="278"/>
      <c r="H906" s="278"/>
      <c r="I906" s="278"/>
      <c r="J906" s="27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278"/>
      <c r="AE906" s="8"/>
      <c r="AF906" s="8"/>
      <c r="AG906" s="8"/>
    </row>
    <row r="907" ht="13.5" customHeight="1">
      <c r="A907" s="8"/>
      <c r="B907" s="278"/>
      <c r="C907" s="278"/>
      <c r="D907" s="8"/>
      <c r="E907" s="278"/>
      <c r="F907" s="278"/>
      <c r="G907" s="278"/>
      <c r="H907" s="278"/>
      <c r="I907" s="278"/>
      <c r="J907" s="27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278"/>
      <c r="AE907" s="8"/>
      <c r="AF907" s="8"/>
      <c r="AG907" s="8"/>
    </row>
    <row r="908" ht="13.5" customHeight="1">
      <c r="A908" s="8"/>
      <c r="B908" s="278"/>
      <c r="C908" s="278"/>
      <c r="D908" s="8"/>
      <c r="E908" s="278"/>
      <c r="F908" s="278"/>
      <c r="G908" s="278"/>
      <c r="H908" s="278"/>
      <c r="I908" s="278"/>
      <c r="J908" s="27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278"/>
      <c r="AE908" s="8"/>
      <c r="AF908" s="8"/>
      <c r="AG908" s="8"/>
    </row>
    <row r="909" ht="13.5" customHeight="1">
      <c r="A909" s="8"/>
      <c r="B909" s="278"/>
      <c r="C909" s="278"/>
      <c r="D909" s="8"/>
      <c r="E909" s="278"/>
      <c r="F909" s="278"/>
      <c r="G909" s="278"/>
      <c r="H909" s="278"/>
      <c r="I909" s="278"/>
      <c r="J909" s="27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278"/>
      <c r="AE909" s="8"/>
      <c r="AF909" s="8"/>
      <c r="AG909" s="8"/>
    </row>
    <row r="910" ht="13.5" customHeight="1">
      <c r="A910" s="8"/>
      <c r="B910" s="278"/>
      <c r="C910" s="278"/>
      <c r="D910" s="8"/>
      <c r="E910" s="278"/>
      <c r="F910" s="278"/>
      <c r="G910" s="278"/>
      <c r="H910" s="278"/>
      <c r="I910" s="278"/>
      <c r="J910" s="27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278"/>
      <c r="AE910" s="8"/>
      <c r="AF910" s="8"/>
      <c r="AG910" s="8"/>
    </row>
    <row r="911" ht="13.5" customHeight="1">
      <c r="A911" s="8"/>
      <c r="B911" s="278"/>
      <c r="C911" s="278"/>
      <c r="D911" s="8"/>
      <c r="E911" s="278"/>
      <c r="F911" s="278"/>
      <c r="G911" s="278"/>
      <c r="H911" s="278"/>
      <c r="I911" s="278"/>
      <c r="J911" s="27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278"/>
      <c r="AE911" s="8"/>
      <c r="AF911" s="8"/>
      <c r="AG911" s="8"/>
    </row>
    <row r="912" ht="13.5" customHeight="1">
      <c r="A912" s="8"/>
      <c r="B912" s="278"/>
      <c r="C912" s="278"/>
      <c r="D912" s="8"/>
      <c r="E912" s="278"/>
      <c r="F912" s="278"/>
      <c r="G912" s="278"/>
      <c r="H912" s="278"/>
      <c r="I912" s="278"/>
      <c r="J912" s="27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278"/>
      <c r="AE912" s="8"/>
      <c r="AF912" s="8"/>
      <c r="AG912" s="8"/>
    </row>
    <row r="913" ht="13.5" customHeight="1">
      <c r="A913" s="8"/>
      <c r="B913" s="278"/>
      <c r="C913" s="278"/>
      <c r="D913" s="8"/>
      <c r="E913" s="278"/>
      <c r="F913" s="278"/>
      <c r="G913" s="278"/>
      <c r="H913" s="278"/>
      <c r="I913" s="278"/>
      <c r="J913" s="27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278"/>
      <c r="AE913" s="8"/>
      <c r="AF913" s="8"/>
      <c r="AG913" s="8"/>
    </row>
    <row r="914" ht="13.5" customHeight="1">
      <c r="A914" s="8"/>
      <c r="B914" s="278"/>
      <c r="C914" s="278"/>
      <c r="D914" s="8"/>
      <c r="E914" s="278"/>
      <c r="F914" s="278"/>
      <c r="G914" s="278"/>
      <c r="H914" s="278"/>
      <c r="I914" s="278"/>
      <c r="J914" s="27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278"/>
      <c r="AE914" s="8"/>
      <c r="AF914" s="8"/>
      <c r="AG914" s="8"/>
    </row>
    <row r="915" ht="13.5" customHeight="1">
      <c r="A915" s="8"/>
      <c r="B915" s="278"/>
      <c r="C915" s="278"/>
      <c r="D915" s="8"/>
      <c r="E915" s="278"/>
      <c r="F915" s="278"/>
      <c r="G915" s="278"/>
      <c r="H915" s="278"/>
      <c r="I915" s="278"/>
      <c r="J915" s="27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278"/>
      <c r="AE915" s="8"/>
      <c r="AF915" s="8"/>
      <c r="AG915" s="8"/>
    </row>
    <row r="916" ht="13.5" customHeight="1">
      <c r="A916" s="8"/>
      <c r="B916" s="278"/>
      <c r="C916" s="278"/>
      <c r="D916" s="8"/>
      <c r="E916" s="278"/>
      <c r="F916" s="278"/>
      <c r="G916" s="278"/>
      <c r="H916" s="278"/>
      <c r="I916" s="278"/>
      <c r="J916" s="27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278"/>
      <c r="AE916" s="8"/>
      <c r="AF916" s="8"/>
      <c r="AG916" s="8"/>
    </row>
    <row r="917" ht="13.5" customHeight="1">
      <c r="A917" s="8"/>
      <c r="B917" s="278"/>
      <c r="C917" s="278"/>
      <c r="D917" s="8"/>
      <c r="E917" s="278"/>
      <c r="F917" s="278"/>
      <c r="G917" s="278"/>
      <c r="H917" s="278"/>
      <c r="I917" s="278"/>
      <c r="J917" s="27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278"/>
      <c r="AE917" s="8"/>
      <c r="AF917" s="8"/>
      <c r="AG917" s="8"/>
    </row>
    <row r="918" ht="13.5" customHeight="1">
      <c r="A918" s="8"/>
      <c r="B918" s="278"/>
      <c r="C918" s="278"/>
      <c r="D918" s="8"/>
      <c r="E918" s="278"/>
      <c r="F918" s="278"/>
      <c r="G918" s="278"/>
      <c r="H918" s="278"/>
      <c r="I918" s="278"/>
      <c r="J918" s="27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278"/>
      <c r="AE918" s="8"/>
      <c r="AF918" s="8"/>
      <c r="AG918" s="8"/>
    </row>
    <row r="919" ht="13.5" customHeight="1">
      <c r="A919" s="8"/>
      <c r="B919" s="278"/>
      <c r="C919" s="278"/>
      <c r="D919" s="8"/>
      <c r="E919" s="278"/>
      <c r="F919" s="278"/>
      <c r="G919" s="278"/>
      <c r="H919" s="278"/>
      <c r="I919" s="278"/>
      <c r="J919" s="27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278"/>
      <c r="AE919" s="8"/>
      <c r="AF919" s="8"/>
      <c r="AG919" s="8"/>
    </row>
    <row r="920" ht="13.5" customHeight="1">
      <c r="A920" s="8"/>
      <c r="B920" s="278"/>
      <c r="C920" s="278"/>
      <c r="D920" s="8"/>
      <c r="E920" s="278"/>
      <c r="F920" s="278"/>
      <c r="G920" s="278"/>
      <c r="H920" s="278"/>
      <c r="I920" s="278"/>
      <c r="J920" s="27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278"/>
      <c r="AE920" s="8"/>
      <c r="AF920" s="8"/>
      <c r="AG920" s="8"/>
    </row>
    <row r="921" ht="13.5" customHeight="1">
      <c r="A921" s="8"/>
      <c r="B921" s="278"/>
      <c r="C921" s="278"/>
      <c r="D921" s="8"/>
      <c r="E921" s="278"/>
      <c r="F921" s="278"/>
      <c r="G921" s="278"/>
      <c r="H921" s="278"/>
      <c r="I921" s="278"/>
      <c r="J921" s="27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278"/>
      <c r="AE921" s="8"/>
      <c r="AF921" s="8"/>
      <c r="AG921" s="8"/>
    </row>
    <row r="922" ht="13.5" customHeight="1">
      <c r="A922" s="8"/>
      <c r="B922" s="278"/>
      <c r="C922" s="278"/>
      <c r="D922" s="8"/>
      <c r="E922" s="278"/>
      <c r="F922" s="278"/>
      <c r="G922" s="278"/>
      <c r="H922" s="278"/>
      <c r="I922" s="278"/>
      <c r="J922" s="27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278"/>
      <c r="AE922" s="8"/>
      <c r="AF922" s="8"/>
      <c r="AG922" s="8"/>
    </row>
    <row r="923" ht="13.5" customHeight="1">
      <c r="A923" s="8"/>
      <c r="B923" s="278"/>
      <c r="C923" s="278"/>
      <c r="D923" s="8"/>
      <c r="E923" s="278"/>
      <c r="F923" s="278"/>
      <c r="G923" s="278"/>
      <c r="H923" s="278"/>
      <c r="I923" s="278"/>
      <c r="J923" s="27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278"/>
      <c r="AE923" s="8"/>
      <c r="AF923" s="8"/>
      <c r="AG923" s="8"/>
    </row>
    <row r="924" ht="13.5" customHeight="1">
      <c r="A924" s="8"/>
      <c r="B924" s="278"/>
      <c r="C924" s="278"/>
      <c r="D924" s="8"/>
      <c r="E924" s="278"/>
      <c r="F924" s="278"/>
      <c r="G924" s="278"/>
      <c r="H924" s="278"/>
      <c r="I924" s="278"/>
      <c r="J924" s="27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278"/>
      <c r="AE924" s="8"/>
      <c r="AF924" s="8"/>
      <c r="AG924" s="8"/>
    </row>
    <row r="925" ht="13.5" customHeight="1">
      <c r="A925" s="8"/>
      <c r="B925" s="278"/>
      <c r="C925" s="278"/>
      <c r="D925" s="8"/>
      <c r="E925" s="278"/>
      <c r="F925" s="278"/>
      <c r="G925" s="278"/>
      <c r="H925" s="278"/>
      <c r="I925" s="278"/>
      <c r="J925" s="27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278"/>
      <c r="AE925" s="8"/>
      <c r="AF925" s="8"/>
      <c r="AG925" s="8"/>
    </row>
    <row r="926" ht="13.5" customHeight="1">
      <c r="A926" s="8"/>
      <c r="B926" s="278"/>
      <c r="C926" s="278"/>
      <c r="D926" s="8"/>
      <c r="E926" s="278"/>
      <c r="F926" s="278"/>
      <c r="G926" s="278"/>
      <c r="H926" s="278"/>
      <c r="I926" s="278"/>
      <c r="J926" s="27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278"/>
      <c r="AE926" s="8"/>
      <c r="AF926" s="8"/>
      <c r="AG926" s="8"/>
    </row>
    <row r="927" ht="13.5" customHeight="1">
      <c r="A927" s="8"/>
      <c r="B927" s="278"/>
      <c r="C927" s="278"/>
      <c r="D927" s="8"/>
      <c r="E927" s="278"/>
      <c r="F927" s="278"/>
      <c r="G927" s="278"/>
      <c r="H927" s="278"/>
      <c r="I927" s="278"/>
      <c r="J927" s="27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278"/>
      <c r="AE927" s="8"/>
      <c r="AF927" s="8"/>
      <c r="AG927" s="8"/>
    </row>
    <row r="928" ht="13.5" customHeight="1">
      <c r="A928" s="8"/>
      <c r="B928" s="278"/>
      <c r="C928" s="278"/>
      <c r="D928" s="8"/>
      <c r="E928" s="278"/>
      <c r="F928" s="278"/>
      <c r="G928" s="278"/>
      <c r="H928" s="278"/>
      <c r="I928" s="278"/>
      <c r="J928" s="27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278"/>
      <c r="AE928" s="8"/>
      <c r="AF928" s="8"/>
      <c r="AG928" s="8"/>
    </row>
    <row r="929" ht="13.5" customHeight="1">
      <c r="A929" s="8"/>
      <c r="B929" s="278"/>
      <c r="C929" s="278"/>
      <c r="D929" s="8"/>
      <c r="E929" s="278"/>
      <c r="F929" s="278"/>
      <c r="G929" s="278"/>
      <c r="H929" s="278"/>
      <c r="I929" s="278"/>
      <c r="J929" s="27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278"/>
      <c r="AE929" s="8"/>
      <c r="AF929" s="8"/>
      <c r="AG929" s="8"/>
    </row>
    <row r="930" ht="13.5" customHeight="1">
      <c r="A930" s="8"/>
      <c r="B930" s="278"/>
      <c r="C930" s="278"/>
      <c r="D930" s="8"/>
      <c r="E930" s="278"/>
      <c r="F930" s="278"/>
      <c r="G930" s="278"/>
      <c r="H930" s="278"/>
      <c r="I930" s="278"/>
      <c r="J930" s="27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278"/>
      <c r="AE930" s="8"/>
      <c r="AF930" s="8"/>
      <c r="AG930" s="8"/>
    </row>
    <row r="931" ht="13.5" customHeight="1">
      <c r="A931" s="8"/>
      <c r="B931" s="278"/>
      <c r="C931" s="278"/>
      <c r="D931" s="8"/>
      <c r="E931" s="278"/>
      <c r="F931" s="278"/>
      <c r="G931" s="278"/>
      <c r="H931" s="278"/>
      <c r="I931" s="278"/>
      <c r="J931" s="27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278"/>
      <c r="AE931" s="8"/>
      <c r="AF931" s="8"/>
      <c r="AG931" s="8"/>
    </row>
    <row r="932" ht="13.5" customHeight="1">
      <c r="A932" s="8"/>
      <c r="B932" s="278"/>
      <c r="C932" s="278"/>
      <c r="D932" s="8"/>
      <c r="E932" s="278"/>
      <c r="F932" s="278"/>
      <c r="G932" s="278"/>
      <c r="H932" s="278"/>
      <c r="I932" s="278"/>
      <c r="J932" s="27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278"/>
      <c r="AE932" s="8"/>
      <c r="AF932" s="8"/>
      <c r="AG932" s="8"/>
    </row>
    <row r="933" ht="13.5" customHeight="1">
      <c r="A933" s="8"/>
      <c r="B933" s="278"/>
      <c r="C933" s="278"/>
      <c r="D933" s="8"/>
      <c r="E933" s="278"/>
      <c r="F933" s="278"/>
      <c r="G933" s="278"/>
      <c r="H933" s="278"/>
      <c r="I933" s="278"/>
      <c r="J933" s="27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278"/>
      <c r="AE933" s="8"/>
      <c r="AF933" s="8"/>
      <c r="AG933" s="8"/>
    </row>
    <row r="934" ht="13.5" customHeight="1">
      <c r="A934" s="8"/>
      <c r="B934" s="278"/>
      <c r="C934" s="278"/>
      <c r="D934" s="8"/>
      <c r="E934" s="278"/>
      <c r="F934" s="278"/>
      <c r="G934" s="278"/>
      <c r="H934" s="278"/>
      <c r="I934" s="278"/>
      <c r="J934" s="27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278"/>
      <c r="AE934" s="8"/>
      <c r="AF934" s="8"/>
      <c r="AG934" s="8"/>
    </row>
    <row r="935" ht="13.5" customHeight="1">
      <c r="A935" s="8"/>
      <c r="B935" s="278"/>
      <c r="C935" s="278"/>
      <c r="D935" s="8"/>
      <c r="E935" s="278"/>
      <c r="F935" s="278"/>
      <c r="G935" s="278"/>
      <c r="H935" s="278"/>
      <c r="I935" s="278"/>
      <c r="J935" s="27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278"/>
      <c r="AE935" s="8"/>
      <c r="AF935" s="8"/>
      <c r="AG935" s="8"/>
    </row>
    <row r="936" ht="13.5" customHeight="1">
      <c r="A936" s="8"/>
      <c r="B936" s="278"/>
      <c r="C936" s="278"/>
      <c r="D936" s="8"/>
      <c r="E936" s="278"/>
      <c r="F936" s="278"/>
      <c r="G936" s="278"/>
      <c r="H936" s="278"/>
      <c r="I936" s="278"/>
      <c r="J936" s="27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278"/>
      <c r="AE936" s="8"/>
      <c r="AF936" s="8"/>
      <c r="AG936" s="8"/>
    </row>
    <row r="937" ht="13.5" customHeight="1">
      <c r="A937" s="8"/>
      <c r="B937" s="278"/>
      <c r="C937" s="278"/>
      <c r="D937" s="8"/>
      <c r="E937" s="278"/>
      <c r="F937" s="278"/>
      <c r="G937" s="278"/>
      <c r="H937" s="278"/>
      <c r="I937" s="278"/>
      <c r="J937" s="27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278"/>
      <c r="AE937" s="8"/>
      <c r="AF937" s="8"/>
      <c r="AG937" s="8"/>
    </row>
    <row r="938" ht="13.5" customHeight="1">
      <c r="A938" s="8"/>
      <c r="B938" s="278"/>
      <c r="C938" s="278"/>
      <c r="D938" s="8"/>
      <c r="E938" s="278"/>
      <c r="F938" s="278"/>
      <c r="G938" s="278"/>
      <c r="H938" s="278"/>
      <c r="I938" s="278"/>
      <c r="J938" s="27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278"/>
      <c r="AE938" s="8"/>
      <c r="AF938" s="8"/>
      <c r="AG938" s="8"/>
    </row>
    <row r="939" ht="13.5" customHeight="1">
      <c r="A939" s="8"/>
      <c r="B939" s="278"/>
      <c r="C939" s="278"/>
      <c r="D939" s="8"/>
      <c r="E939" s="278"/>
      <c r="F939" s="278"/>
      <c r="G939" s="278"/>
      <c r="H939" s="278"/>
      <c r="I939" s="278"/>
      <c r="J939" s="27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278"/>
      <c r="AE939" s="8"/>
      <c r="AF939" s="8"/>
      <c r="AG939" s="8"/>
    </row>
    <row r="940" ht="13.5" customHeight="1">
      <c r="A940" s="8"/>
      <c r="B940" s="278"/>
      <c r="C940" s="278"/>
      <c r="D940" s="8"/>
      <c r="E940" s="278"/>
      <c r="F940" s="278"/>
      <c r="G940" s="278"/>
      <c r="H940" s="278"/>
      <c r="I940" s="278"/>
      <c r="J940" s="27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278"/>
      <c r="AE940" s="8"/>
      <c r="AF940" s="8"/>
      <c r="AG940" s="8"/>
    </row>
    <row r="941" ht="13.5" customHeight="1">
      <c r="A941" s="8"/>
      <c r="B941" s="278"/>
      <c r="C941" s="278"/>
      <c r="D941" s="8"/>
      <c r="E941" s="278"/>
      <c r="F941" s="278"/>
      <c r="G941" s="278"/>
      <c r="H941" s="278"/>
      <c r="I941" s="278"/>
      <c r="J941" s="27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278"/>
      <c r="AE941" s="8"/>
      <c r="AF941" s="8"/>
      <c r="AG941" s="8"/>
    </row>
    <row r="942" ht="13.5" customHeight="1">
      <c r="A942" s="8"/>
      <c r="B942" s="278"/>
      <c r="C942" s="278"/>
      <c r="D942" s="8"/>
      <c r="E942" s="278"/>
      <c r="F942" s="278"/>
      <c r="G942" s="278"/>
      <c r="H942" s="278"/>
      <c r="I942" s="278"/>
      <c r="J942" s="27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278"/>
      <c r="AE942" s="8"/>
      <c r="AF942" s="8"/>
      <c r="AG942" s="8"/>
    </row>
    <row r="943" ht="13.5" customHeight="1">
      <c r="A943" s="8"/>
      <c r="B943" s="278"/>
      <c r="C943" s="278"/>
      <c r="D943" s="8"/>
      <c r="E943" s="278"/>
      <c r="F943" s="278"/>
      <c r="G943" s="278"/>
      <c r="H943" s="278"/>
      <c r="I943" s="278"/>
      <c r="J943" s="27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278"/>
      <c r="AE943" s="8"/>
      <c r="AF943" s="8"/>
      <c r="AG943" s="8"/>
    </row>
    <row r="944" ht="13.5" customHeight="1">
      <c r="A944" s="8"/>
      <c r="B944" s="278"/>
      <c r="C944" s="278"/>
      <c r="D944" s="8"/>
      <c r="E944" s="278"/>
      <c r="F944" s="278"/>
      <c r="G944" s="278"/>
      <c r="H944" s="278"/>
      <c r="I944" s="278"/>
      <c r="J944" s="27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278"/>
      <c r="AE944" s="8"/>
      <c r="AF944" s="8"/>
      <c r="AG944" s="8"/>
    </row>
    <row r="945" ht="13.5" customHeight="1">
      <c r="A945" s="8"/>
      <c r="B945" s="278"/>
      <c r="C945" s="278"/>
      <c r="D945" s="8"/>
      <c r="E945" s="278"/>
      <c r="F945" s="278"/>
      <c r="G945" s="278"/>
      <c r="H945" s="278"/>
      <c r="I945" s="278"/>
      <c r="J945" s="27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278"/>
      <c r="AE945" s="8"/>
      <c r="AF945" s="8"/>
      <c r="AG945" s="8"/>
    </row>
    <row r="946" ht="13.5" customHeight="1">
      <c r="A946" s="8"/>
      <c r="B946" s="278"/>
      <c r="C946" s="278"/>
      <c r="D946" s="8"/>
      <c r="E946" s="278"/>
      <c r="F946" s="278"/>
      <c r="G946" s="278"/>
      <c r="H946" s="278"/>
      <c r="I946" s="278"/>
      <c r="J946" s="27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278"/>
      <c r="AE946" s="8"/>
      <c r="AF946" s="8"/>
      <c r="AG946" s="8"/>
    </row>
    <row r="947" ht="13.5" customHeight="1">
      <c r="A947" s="8"/>
      <c r="B947" s="278"/>
      <c r="C947" s="278"/>
      <c r="D947" s="8"/>
      <c r="E947" s="278"/>
      <c r="F947" s="278"/>
      <c r="G947" s="278"/>
      <c r="H947" s="278"/>
      <c r="I947" s="278"/>
      <c r="J947" s="27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278"/>
      <c r="AE947" s="8"/>
      <c r="AF947" s="8"/>
      <c r="AG947" s="8"/>
    </row>
    <row r="948" ht="13.5" customHeight="1">
      <c r="A948" s="8"/>
      <c r="B948" s="278"/>
      <c r="C948" s="278"/>
      <c r="D948" s="8"/>
      <c r="E948" s="278"/>
      <c r="F948" s="278"/>
      <c r="G948" s="278"/>
      <c r="H948" s="278"/>
      <c r="I948" s="278"/>
      <c r="J948" s="27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278"/>
      <c r="AE948" s="8"/>
      <c r="AF948" s="8"/>
      <c r="AG948" s="8"/>
    </row>
    <row r="949" ht="13.5" customHeight="1">
      <c r="A949" s="8"/>
      <c r="B949" s="278"/>
      <c r="C949" s="278"/>
      <c r="D949" s="8"/>
      <c r="E949" s="278"/>
      <c r="F949" s="278"/>
      <c r="G949" s="278"/>
      <c r="H949" s="278"/>
      <c r="I949" s="278"/>
      <c r="J949" s="27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278"/>
      <c r="AE949" s="8"/>
      <c r="AF949" s="8"/>
      <c r="AG949" s="8"/>
    </row>
    <row r="950" ht="13.5" customHeight="1">
      <c r="A950" s="8"/>
      <c r="B950" s="278"/>
      <c r="C950" s="278"/>
      <c r="D950" s="8"/>
      <c r="E950" s="278"/>
      <c r="F950" s="278"/>
      <c r="G950" s="278"/>
      <c r="H950" s="278"/>
      <c r="I950" s="278"/>
      <c r="J950" s="27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278"/>
      <c r="AE950" s="8"/>
      <c r="AF950" s="8"/>
      <c r="AG950" s="8"/>
    </row>
    <row r="951" ht="13.5" customHeight="1">
      <c r="A951" s="8"/>
      <c r="B951" s="278"/>
      <c r="C951" s="278"/>
      <c r="D951" s="8"/>
      <c r="E951" s="278"/>
      <c r="F951" s="278"/>
      <c r="G951" s="278"/>
      <c r="H951" s="278"/>
      <c r="I951" s="278"/>
      <c r="J951" s="27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278"/>
      <c r="AE951" s="8"/>
      <c r="AF951" s="8"/>
      <c r="AG951" s="8"/>
    </row>
    <row r="952" ht="13.5" customHeight="1">
      <c r="A952" s="8"/>
      <c r="B952" s="278"/>
      <c r="C952" s="278"/>
      <c r="D952" s="8"/>
      <c r="E952" s="278"/>
      <c r="F952" s="278"/>
      <c r="G952" s="278"/>
      <c r="H952" s="278"/>
      <c r="I952" s="278"/>
      <c r="J952" s="27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278"/>
      <c r="AE952" s="8"/>
      <c r="AF952" s="8"/>
      <c r="AG952" s="8"/>
    </row>
    <row r="953" ht="13.5" customHeight="1">
      <c r="A953" s="8"/>
      <c r="B953" s="278"/>
      <c r="C953" s="278"/>
      <c r="D953" s="8"/>
      <c r="E953" s="278"/>
      <c r="F953" s="278"/>
      <c r="G953" s="278"/>
      <c r="H953" s="278"/>
      <c r="I953" s="278"/>
      <c r="J953" s="27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278"/>
      <c r="AE953" s="8"/>
      <c r="AF953" s="8"/>
      <c r="AG953" s="8"/>
    </row>
    <row r="954" ht="13.5" customHeight="1">
      <c r="A954" s="8"/>
      <c r="B954" s="278"/>
      <c r="C954" s="278"/>
      <c r="D954" s="8"/>
      <c r="E954" s="278"/>
      <c r="F954" s="278"/>
      <c r="G954" s="278"/>
      <c r="H954" s="278"/>
      <c r="I954" s="278"/>
      <c r="J954" s="27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278"/>
      <c r="AE954" s="8"/>
      <c r="AF954" s="8"/>
      <c r="AG954" s="8"/>
    </row>
    <row r="955" ht="13.5" customHeight="1">
      <c r="A955" s="8"/>
      <c r="B955" s="278"/>
      <c r="C955" s="278"/>
      <c r="D955" s="8"/>
      <c r="E955" s="278"/>
      <c r="F955" s="278"/>
      <c r="G955" s="278"/>
      <c r="H955" s="278"/>
      <c r="I955" s="278"/>
      <c r="J955" s="27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278"/>
      <c r="AE955" s="8"/>
      <c r="AF955" s="8"/>
      <c r="AG955" s="8"/>
    </row>
    <row r="956" ht="13.5" customHeight="1">
      <c r="A956" s="8"/>
      <c r="B956" s="278"/>
      <c r="C956" s="278"/>
      <c r="D956" s="8"/>
      <c r="E956" s="278"/>
      <c r="F956" s="278"/>
      <c r="G956" s="278"/>
      <c r="H956" s="278"/>
      <c r="I956" s="278"/>
      <c r="J956" s="27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278"/>
      <c r="AE956" s="8"/>
      <c r="AF956" s="8"/>
      <c r="AG956" s="8"/>
    </row>
    <row r="957" ht="13.5" customHeight="1">
      <c r="A957" s="8"/>
      <c r="B957" s="278"/>
      <c r="C957" s="278"/>
      <c r="D957" s="8"/>
      <c r="E957" s="278"/>
      <c r="F957" s="278"/>
      <c r="G957" s="278"/>
      <c r="H957" s="278"/>
      <c r="I957" s="278"/>
      <c r="J957" s="27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278"/>
      <c r="AE957" s="8"/>
      <c r="AF957" s="8"/>
      <c r="AG957" s="8"/>
    </row>
    <row r="958" ht="13.5" customHeight="1">
      <c r="A958" s="8"/>
      <c r="B958" s="278"/>
      <c r="C958" s="278"/>
      <c r="D958" s="8"/>
      <c r="E958" s="278"/>
      <c r="F958" s="278"/>
      <c r="G958" s="278"/>
      <c r="H958" s="278"/>
      <c r="I958" s="278"/>
      <c r="J958" s="27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278"/>
      <c r="AE958" s="8"/>
      <c r="AF958" s="8"/>
      <c r="AG958" s="8"/>
    </row>
    <row r="959" ht="13.5" customHeight="1">
      <c r="A959" s="8"/>
      <c r="B959" s="278"/>
      <c r="C959" s="278"/>
      <c r="D959" s="8"/>
      <c r="E959" s="278"/>
      <c r="F959" s="278"/>
      <c r="G959" s="278"/>
      <c r="H959" s="278"/>
      <c r="I959" s="278"/>
      <c r="J959" s="27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278"/>
      <c r="AE959" s="8"/>
      <c r="AF959" s="8"/>
      <c r="AG959" s="8"/>
    </row>
    <row r="960" ht="13.5" customHeight="1">
      <c r="A960" s="8"/>
      <c r="B960" s="278"/>
      <c r="C960" s="278"/>
      <c r="D960" s="8"/>
      <c r="E960" s="278"/>
      <c r="F960" s="278"/>
      <c r="G960" s="278"/>
      <c r="H960" s="278"/>
      <c r="I960" s="278"/>
      <c r="J960" s="27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278"/>
      <c r="AE960" s="8"/>
      <c r="AF960" s="8"/>
      <c r="AG960" s="8"/>
    </row>
    <row r="961" ht="13.5" customHeight="1">
      <c r="A961" s="8"/>
      <c r="B961" s="278"/>
      <c r="C961" s="278"/>
      <c r="D961" s="8"/>
      <c r="E961" s="278"/>
      <c r="F961" s="278"/>
      <c r="G961" s="278"/>
      <c r="H961" s="278"/>
      <c r="I961" s="278"/>
      <c r="J961" s="27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278"/>
      <c r="AE961" s="8"/>
      <c r="AF961" s="8"/>
      <c r="AG961" s="8"/>
    </row>
    <row r="962" ht="13.5" customHeight="1">
      <c r="A962" s="8"/>
      <c r="B962" s="278"/>
      <c r="C962" s="278"/>
      <c r="D962" s="8"/>
      <c r="E962" s="278"/>
      <c r="F962" s="278"/>
      <c r="G962" s="278"/>
      <c r="H962" s="278"/>
      <c r="I962" s="278"/>
      <c r="J962" s="27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278"/>
      <c r="AE962" s="8"/>
      <c r="AF962" s="8"/>
      <c r="AG962" s="8"/>
    </row>
    <row r="963" ht="13.5" customHeight="1">
      <c r="A963" s="8"/>
      <c r="B963" s="278"/>
      <c r="C963" s="278"/>
      <c r="D963" s="8"/>
      <c r="E963" s="278"/>
      <c r="F963" s="278"/>
      <c r="G963" s="278"/>
      <c r="H963" s="278"/>
      <c r="I963" s="278"/>
      <c r="J963" s="27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278"/>
      <c r="AE963" s="8"/>
      <c r="AF963" s="8"/>
      <c r="AG963" s="8"/>
    </row>
    <row r="964" ht="13.5" customHeight="1">
      <c r="A964" s="8"/>
      <c r="B964" s="278"/>
      <c r="C964" s="278"/>
      <c r="D964" s="8"/>
      <c r="E964" s="278"/>
      <c r="F964" s="278"/>
      <c r="G964" s="278"/>
      <c r="H964" s="278"/>
      <c r="I964" s="278"/>
      <c r="J964" s="27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278"/>
      <c r="AE964" s="8"/>
      <c r="AF964" s="8"/>
      <c r="AG964" s="8"/>
    </row>
    <row r="965" ht="13.5" customHeight="1">
      <c r="A965" s="8"/>
      <c r="B965" s="278"/>
      <c r="C965" s="278"/>
      <c r="D965" s="8"/>
      <c r="E965" s="278"/>
      <c r="F965" s="278"/>
      <c r="G965" s="278"/>
      <c r="H965" s="278"/>
      <c r="I965" s="278"/>
      <c r="J965" s="27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278"/>
      <c r="AE965" s="8"/>
      <c r="AF965" s="8"/>
      <c r="AG965" s="8"/>
    </row>
    <row r="966" ht="13.5" customHeight="1">
      <c r="A966" s="8"/>
      <c r="B966" s="278"/>
      <c r="C966" s="278"/>
      <c r="D966" s="8"/>
      <c r="E966" s="278"/>
      <c r="F966" s="278"/>
      <c r="G966" s="278"/>
      <c r="H966" s="278"/>
      <c r="I966" s="278"/>
      <c r="J966" s="27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278"/>
      <c r="AE966" s="8"/>
      <c r="AF966" s="8"/>
      <c r="AG966" s="8"/>
    </row>
    <row r="967" ht="13.5" customHeight="1">
      <c r="A967" s="8"/>
      <c r="B967" s="278"/>
      <c r="C967" s="278"/>
      <c r="D967" s="8"/>
      <c r="E967" s="278"/>
      <c r="F967" s="278"/>
      <c r="G967" s="278"/>
      <c r="H967" s="278"/>
      <c r="I967" s="278"/>
      <c r="J967" s="27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278"/>
      <c r="AE967" s="8"/>
      <c r="AF967" s="8"/>
      <c r="AG967" s="8"/>
    </row>
    <row r="968" ht="13.5" customHeight="1">
      <c r="A968" s="8"/>
      <c r="B968" s="278"/>
      <c r="C968" s="278"/>
      <c r="D968" s="8"/>
      <c r="E968" s="278"/>
      <c r="F968" s="278"/>
      <c r="G968" s="278"/>
      <c r="H968" s="278"/>
      <c r="I968" s="278"/>
      <c r="J968" s="27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278"/>
      <c r="AE968" s="8"/>
      <c r="AF968" s="8"/>
      <c r="AG968" s="8"/>
    </row>
    <row r="969" ht="13.5" customHeight="1">
      <c r="A969" s="8"/>
      <c r="B969" s="278"/>
      <c r="C969" s="278"/>
      <c r="D969" s="8"/>
      <c r="E969" s="278"/>
      <c r="F969" s="278"/>
      <c r="G969" s="278"/>
      <c r="H969" s="278"/>
      <c r="I969" s="278"/>
      <c r="J969" s="27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278"/>
      <c r="AE969" s="8"/>
      <c r="AF969" s="8"/>
      <c r="AG969" s="8"/>
    </row>
    <row r="970" ht="13.5" customHeight="1">
      <c r="A970" s="8"/>
      <c r="B970" s="278"/>
      <c r="C970" s="278"/>
      <c r="D970" s="8"/>
      <c r="E970" s="278"/>
      <c r="F970" s="278"/>
      <c r="G970" s="278"/>
      <c r="H970" s="278"/>
      <c r="I970" s="278"/>
      <c r="J970" s="27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278"/>
      <c r="AE970" s="8"/>
      <c r="AF970" s="8"/>
      <c r="AG970" s="8"/>
    </row>
    <row r="971" ht="13.5" customHeight="1">
      <c r="A971" s="8"/>
      <c r="B971" s="278"/>
      <c r="C971" s="278"/>
      <c r="D971" s="8"/>
      <c r="E971" s="278"/>
      <c r="F971" s="278"/>
      <c r="G971" s="278"/>
      <c r="H971" s="278"/>
      <c r="I971" s="278"/>
      <c r="J971" s="27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278"/>
      <c r="AE971" s="8"/>
      <c r="AF971" s="8"/>
      <c r="AG971" s="8"/>
    </row>
    <row r="972" ht="13.5" customHeight="1">
      <c r="A972" s="8"/>
      <c r="B972" s="278"/>
      <c r="C972" s="278"/>
      <c r="D972" s="8"/>
      <c r="E972" s="278"/>
      <c r="F972" s="278"/>
      <c r="G972" s="278"/>
      <c r="H972" s="278"/>
      <c r="I972" s="278"/>
      <c r="J972" s="27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278"/>
      <c r="AE972" s="8"/>
      <c r="AF972" s="8"/>
      <c r="AG972" s="8"/>
    </row>
    <row r="973" ht="13.5" customHeight="1">
      <c r="A973" s="8"/>
      <c r="B973" s="278"/>
      <c r="C973" s="278"/>
      <c r="D973" s="8"/>
      <c r="E973" s="278"/>
      <c r="F973" s="278"/>
      <c r="G973" s="278"/>
      <c r="H973" s="278"/>
      <c r="I973" s="278"/>
      <c r="J973" s="27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278"/>
      <c r="AE973" s="8"/>
      <c r="AF973" s="8"/>
      <c r="AG973" s="8"/>
    </row>
    <row r="974" ht="13.5" customHeight="1">
      <c r="A974" s="8"/>
      <c r="B974" s="278"/>
      <c r="C974" s="278"/>
      <c r="D974" s="8"/>
      <c r="E974" s="278"/>
      <c r="F974" s="278"/>
      <c r="G974" s="278"/>
      <c r="H974" s="278"/>
      <c r="I974" s="278"/>
      <c r="J974" s="27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278"/>
      <c r="AE974" s="8"/>
      <c r="AF974" s="8"/>
      <c r="AG974" s="8"/>
    </row>
    <row r="975" ht="13.5" customHeight="1">
      <c r="A975" s="8"/>
      <c r="B975" s="278"/>
      <c r="C975" s="278"/>
      <c r="D975" s="8"/>
      <c r="E975" s="278"/>
      <c r="F975" s="278"/>
      <c r="G975" s="278"/>
      <c r="H975" s="278"/>
      <c r="I975" s="278"/>
      <c r="J975" s="27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278"/>
      <c r="AE975" s="8"/>
      <c r="AF975" s="8"/>
      <c r="AG975" s="8"/>
    </row>
    <row r="976" ht="13.5" customHeight="1">
      <c r="A976" s="8"/>
      <c r="B976" s="278"/>
      <c r="C976" s="278"/>
      <c r="D976" s="8"/>
      <c r="E976" s="278"/>
      <c r="F976" s="278"/>
      <c r="G976" s="278"/>
      <c r="H976" s="278"/>
      <c r="I976" s="278"/>
      <c r="J976" s="27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278"/>
      <c r="AE976" s="8"/>
      <c r="AF976" s="8"/>
      <c r="AG976" s="8"/>
    </row>
    <row r="977" ht="13.5" customHeight="1">
      <c r="A977" s="8"/>
      <c r="B977" s="278"/>
      <c r="C977" s="278"/>
      <c r="D977" s="8"/>
      <c r="E977" s="278"/>
      <c r="F977" s="278"/>
      <c r="G977" s="278"/>
      <c r="H977" s="278"/>
      <c r="I977" s="278"/>
      <c r="J977" s="27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278"/>
      <c r="AE977" s="8"/>
      <c r="AF977" s="8"/>
      <c r="AG977" s="8"/>
    </row>
    <row r="978" ht="13.5" customHeight="1">
      <c r="A978" s="8"/>
      <c r="B978" s="278"/>
      <c r="C978" s="278"/>
      <c r="D978" s="8"/>
      <c r="E978" s="278"/>
      <c r="F978" s="278"/>
      <c r="G978" s="278"/>
      <c r="H978" s="278"/>
      <c r="I978" s="278"/>
      <c r="J978" s="27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278"/>
      <c r="AE978" s="8"/>
      <c r="AF978" s="8"/>
      <c r="AG978" s="8"/>
    </row>
    <row r="979" ht="13.5" customHeight="1">
      <c r="A979" s="8"/>
      <c r="B979" s="278"/>
      <c r="C979" s="278"/>
      <c r="D979" s="8"/>
      <c r="E979" s="278"/>
      <c r="F979" s="278"/>
      <c r="G979" s="278"/>
      <c r="H979" s="278"/>
      <c r="I979" s="278"/>
      <c r="J979" s="27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278"/>
      <c r="AE979" s="8"/>
      <c r="AF979" s="8"/>
      <c r="AG979" s="8"/>
    </row>
    <row r="980" ht="13.5" customHeight="1">
      <c r="A980" s="8"/>
      <c r="B980" s="278"/>
      <c r="C980" s="278"/>
      <c r="D980" s="8"/>
      <c r="E980" s="278"/>
      <c r="F980" s="278"/>
      <c r="G980" s="278"/>
      <c r="H980" s="278"/>
      <c r="I980" s="278"/>
      <c r="J980" s="27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278"/>
      <c r="AE980" s="8"/>
      <c r="AF980" s="8"/>
      <c r="AG980" s="8"/>
    </row>
    <row r="981" ht="13.5" customHeight="1">
      <c r="A981" s="8"/>
      <c r="B981" s="278"/>
      <c r="C981" s="278"/>
      <c r="D981" s="8"/>
      <c r="E981" s="278"/>
      <c r="F981" s="278"/>
      <c r="G981" s="278"/>
      <c r="H981" s="278"/>
      <c r="I981" s="278"/>
      <c r="J981" s="27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278"/>
      <c r="AE981" s="8"/>
      <c r="AF981" s="8"/>
      <c r="AG981" s="8"/>
    </row>
    <row r="982" ht="13.5" customHeight="1">
      <c r="A982" s="8"/>
      <c r="B982" s="278"/>
      <c r="C982" s="278"/>
      <c r="D982" s="8"/>
      <c r="E982" s="278"/>
      <c r="F982" s="278"/>
      <c r="G982" s="278"/>
      <c r="H982" s="278"/>
      <c r="I982" s="278"/>
      <c r="J982" s="27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278"/>
      <c r="AE982" s="8"/>
      <c r="AF982" s="8"/>
      <c r="AG982" s="8"/>
    </row>
    <row r="983" ht="13.5" customHeight="1">
      <c r="A983" s="8"/>
      <c r="B983" s="278"/>
      <c r="C983" s="278"/>
      <c r="D983" s="8"/>
      <c r="E983" s="278"/>
      <c r="F983" s="278"/>
      <c r="G983" s="278"/>
      <c r="H983" s="278"/>
      <c r="I983" s="278"/>
      <c r="J983" s="27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278"/>
      <c r="AE983" s="8"/>
      <c r="AF983" s="8"/>
      <c r="AG983" s="8"/>
    </row>
    <row r="984" ht="13.5" customHeight="1">
      <c r="A984" s="8"/>
      <c r="B984" s="278"/>
      <c r="C984" s="278"/>
      <c r="D984" s="8"/>
      <c r="E984" s="278"/>
      <c r="F984" s="278"/>
      <c r="G984" s="278"/>
      <c r="H984" s="278"/>
      <c r="I984" s="278"/>
      <c r="J984" s="27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278"/>
      <c r="AE984" s="8"/>
      <c r="AF984" s="8"/>
      <c r="AG984" s="8"/>
    </row>
    <row r="985" ht="13.5" customHeight="1">
      <c r="A985" s="8"/>
      <c r="B985" s="278"/>
      <c r="C985" s="278"/>
      <c r="D985" s="8"/>
      <c r="E985" s="278"/>
      <c r="F985" s="278"/>
      <c r="G985" s="278"/>
      <c r="H985" s="278"/>
      <c r="I985" s="278"/>
      <c r="J985" s="27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278"/>
      <c r="AE985" s="8"/>
      <c r="AF985" s="8"/>
      <c r="AG985" s="8"/>
    </row>
    <row r="986" ht="13.5" customHeight="1">
      <c r="A986" s="8"/>
      <c r="B986" s="278"/>
      <c r="C986" s="278"/>
      <c r="D986" s="8"/>
      <c r="E986" s="278"/>
      <c r="F986" s="278"/>
      <c r="G986" s="278"/>
      <c r="H986" s="278"/>
      <c r="I986" s="278"/>
      <c r="J986" s="27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278"/>
      <c r="AE986" s="8"/>
      <c r="AF986" s="8"/>
      <c r="AG986" s="8"/>
    </row>
    <row r="987" ht="13.5" customHeight="1">
      <c r="A987" s="8"/>
      <c r="B987" s="278"/>
      <c r="C987" s="278"/>
      <c r="D987" s="8"/>
      <c r="E987" s="278"/>
      <c r="F987" s="278"/>
      <c r="G987" s="278"/>
      <c r="H987" s="278"/>
      <c r="I987" s="278"/>
      <c r="J987" s="27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278"/>
      <c r="AE987" s="8"/>
      <c r="AF987" s="8"/>
      <c r="AG987" s="8"/>
    </row>
    <row r="988" ht="13.5" customHeight="1">
      <c r="A988" s="8"/>
      <c r="B988" s="278"/>
      <c r="C988" s="278"/>
      <c r="D988" s="8"/>
      <c r="E988" s="278"/>
      <c r="F988" s="278"/>
      <c r="G988" s="278"/>
      <c r="H988" s="278"/>
      <c r="I988" s="278"/>
      <c r="J988" s="27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278"/>
      <c r="AE988" s="8"/>
      <c r="AF988" s="8"/>
      <c r="AG988" s="8"/>
    </row>
    <row r="989" ht="13.5" customHeight="1">
      <c r="A989" s="8"/>
      <c r="B989" s="278"/>
      <c r="C989" s="278"/>
      <c r="D989" s="8"/>
      <c r="E989" s="278"/>
      <c r="F989" s="278"/>
      <c r="G989" s="278"/>
      <c r="H989" s="278"/>
      <c r="I989" s="278"/>
      <c r="J989" s="27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278"/>
      <c r="AE989" s="8"/>
      <c r="AF989" s="8"/>
      <c r="AG989" s="8"/>
    </row>
    <row r="990" ht="13.5" customHeight="1">
      <c r="A990" s="8"/>
      <c r="B990" s="278"/>
      <c r="C990" s="278"/>
      <c r="D990" s="8"/>
      <c r="E990" s="278"/>
      <c r="F990" s="278"/>
      <c r="G990" s="278"/>
      <c r="H990" s="278"/>
      <c r="I990" s="278"/>
      <c r="J990" s="27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278"/>
      <c r="AE990" s="8"/>
      <c r="AF990" s="8"/>
      <c r="AG990" s="8"/>
    </row>
    <row r="991" ht="13.5" customHeight="1">
      <c r="A991" s="8"/>
      <c r="B991" s="278"/>
      <c r="C991" s="278"/>
      <c r="D991" s="8"/>
      <c r="E991" s="278"/>
      <c r="F991" s="278"/>
      <c r="G991" s="278"/>
      <c r="H991" s="278"/>
      <c r="I991" s="278"/>
      <c r="J991" s="27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278"/>
      <c r="AE991" s="8"/>
      <c r="AF991" s="8"/>
      <c r="AG991" s="8"/>
    </row>
    <row r="992" ht="13.5" customHeight="1">
      <c r="A992" s="8"/>
      <c r="B992" s="278"/>
      <c r="C992" s="278"/>
      <c r="D992" s="8"/>
      <c r="E992" s="278"/>
      <c r="F992" s="278"/>
      <c r="G992" s="278"/>
      <c r="H992" s="278"/>
      <c r="I992" s="278"/>
      <c r="J992" s="27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278"/>
      <c r="AE992" s="8"/>
      <c r="AF992" s="8"/>
      <c r="AG992" s="8"/>
    </row>
    <row r="993" ht="13.5" customHeight="1">
      <c r="A993" s="8"/>
      <c r="B993" s="278"/>
      <c r="C993" s="278"/>
      <c r="D993" s="8"/>
      <c r="E993" s="278"/>
      <c r="F993" s="278"/>
      <c r="G993" s="278"/>
      <c r="H993" s="278"/>
      <c r="I993" s="278"/>
      <c r="J993" s="27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278"/>
      <c r="AE993" s="8"/>
      <c r="AF993" s="8"/>
      <c r="AG993" s="8"/>
    </row>
    <row r="994" ht="13.5" customHeight="1">
      <c r="A994" s="8"/>
      <c r="B994" s="278"/>
      <c r="C994" s="278"/>
      <c r="D994" s="8"/>
      <c r="E994" s="278"/>
      <c r="F994" s="278"/>
      <c r="G994" s="278"/>
      <c r="H994" s="278"/>
      <c r="I994" s="278"/>
      <c r="J994" s="27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278"/>
      <c r="AE994" s="8"/>
      <c r="AF994" s="8"/>
      <c r="AG994" s="8"/>
    </row>
    <row r="995" ht="13.5" customHeight="1">
      <c r="A995" s="8"/>
      <c r="B995" s="278"/>
      <c r="C995" s="278"/>
      <c r="D995" s="8"/>
      <c r="E995" s="278"/>
      <c r="F995" s="278"/>
      <c r="G995" s="278"/>
      <c r="H995" s="278"/>
      <c r="I995" s="278"/>
      <c r="J995" s="27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278"/>
      <c r="AE995" s="8"/>
      <c r="AF995" s="8"/>
      <c r="AG995" s="8"/>
    </row>
    <row r="996" ht="13.5" customHeight="1">
      <c r="A996" s="8"/>
      <c r="B996" s="278"/>
      <c r="C996" s="278"/>
      <c r="D996" s="8"/>
      <c r="E996" s="278"/>
      <c r="F996" s="278"/>
      <c r="G996" s="278"/>
      <c r="H996" s="278"/>
      <c r="I996" s="278"/>
      <c r="J996" s="27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278"/>
      <c r="AE996" s="8"/>
      <c r="AF996" s="8"/>
      <c r="AG996" s="8"/>
    </row>
    <row r="997" ht="13.5" customHeight="1">
      <c r="A997" s="8"/>
      <c r="B997" s="278"/>
      <c r="C997" s="278"/>
      <c r="D997" s="8"/>
      <c r="E997" s="278"/>
      <c r="F997" s="278"/>
      <c r="G997" s="278"/>
      <c r="H997" s="278"/>
      <c r="I997" s="278"/>
      <c r="J997" s="27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278"/>
      <c r="AE997" s="8"/>
      <c r="AF997" s="8"/>
      <c r="AG997" s="8"/>
    </row>
    <row r="998" ht="13.5" customHeight="1">
      <c r="A998" s="8"/>
      <c r="B998" s="278"/>
      <c r="C998" s="278"/>
      <c r="D998" s="8"/>
      <c r="E998" s="278"/>
      <c r="F998" s="278"/>
      <c r="G998" s="278"/>
      <c r="H998" s="278"/>
      <c r="I998" s="278"/>
      <c r="J998" s="27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278"/>
      <c r="AE998" s="8"/>
      <c r="AF998" s="8"/>
      <c r="AG998" s="8"/>
    </row>
    <row r="999" ht="13.5" customHeight="1">
      <c r="A999" s="8"/>
      <c r="B999" s="278"/>
      <c r="C999" s="278"/>
      <c r="D999" s="8"/>
      <c r="E999" s="278"/>
      <c r="F999" s="278"/>
      <c r="G999" s="278"/>
      <c r="H999" s="278"/>
      <c r="I999" s="278"/>
      <c r="J999" s="27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278"/>
      <c r="AE999" s="8"/>
      <c r="AF999" s="8"/>
      <c r="AG999" s="8"/>
    </row>
    <row r="1000" ht="13.5" customHeight="1">
      <c r="A1000" s="8"/>
      <c r="B1000" s="278"/>
      <c r="C1000" s="278"/>
      <c r="D1000" s="8"/>
      <c r="E1000" s="278"/>
      <c r="F1000" s="278"/>
      <c r="G1000" s="278"/>
      <c r="H1000" s="278"/>
      <c r="I1000" s="278"/>
      <c r="J1000" s="27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278"/>
      <c r="AE1000" s="8"/>
      <c r="AF1000" s="8"/>
      <c r="AG1000" s="8"/>
    </row>
  </sheetData>
  <mergeCells count="3">
    <mergeCell ref="K4:M4"/>
    <mergeCell ref="Y4:AC4"/>
    <mergeCell ref="AE4:AF4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3" width="8.71"/>
    <col customWidth="1" min="4" max="4" width="14.29"/>
    <col customWidth="1" min="5" max="5" width="10.0"/>
    <col customWidth="1" min="6" max="18" width="8.71"/>
    <col customWidth="1" min="19" max="19" width="11.71"/>
    <col customWidth="1" min="20" max="20" width="13.29"/>
    <col customWidth="1" min="21" max="26" width="8.71"/>
  </cols>
  <sheetData>
    <row r="1" ht="24.0" customHeight="1">
      <c r="A1" s="321" t="s">
        <v>280</v>
      </c>
      <c r="B1" s="322"/>
      <c r="C1" s="322"/>
      <c r="D1" s="323"/>
      <c r="E1" s="324" t="s">
        <v>380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04"/>
      <c r="Q1" s="204"/>
      <c r="R1" s="211"/>
      <c r="S1" s="211"/>
      <c r="T1" s="211"/>
      <c r="U1" s="8"/>
      <c r="V1" s="8"/>
      <c r="W1" s="8"/>
      <c r="X1" s="8"/>
      <c r="Y1" s="8"/>
      <c r="Z1" s="8"/>
    </row>
    <row r="2" ht="6.75" customHeight="1">
      <c r="A2" s="211"/>
      <c r="B2" s="210"/>
      <c r="C2" s="210"/>
      <c r="D2" s="211"/>
      <c r="E2" s="210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8"/>
      <c r="V2" s="8"/>
      <c r="W2" s="8"/>
      <c r="X2" s="8"/>
      <c r="Y2" s="8"/>
      <c r="Z2" s="8"/>
    </row>
    <row r="3" ht="13.5" customHeight="1">
      <c r="A3" s="214" t="s">
        <v>282</v>
      </c>
      <c r="B3" s="215"/>
      <c r="C3" s="215"/>
      <c r="D3" s="216"/>
      <c r="E3" s="215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8"/>
      <c r="V3" s="8"/>
      <c r="W3" s="8"/>
      <c r="X3" s="8"/>
      <c r="Y3" s="8"/>
      <c r="Z3" s="8"/>
    </row>
    <row r="4" ht="13.5" customHeight="1">
      <c r="A4" s="217" t="s">
        <v>283</v>
      </c>
      <c r="B4" s="218" t="s">
        <v>284</v>
      </c>
      <c r="C4" s="218" t="s">
        <v>382</v>
      </c>
      <c r="D4" s="218" t="s">
        <v>285</v>
      </c>
      <c r="E4" s="218" t="s">
        <v>439</v>
      </c>
      <c r="F4" s="282" t="s">
        <v>387</v>
      </c>
      <c r="G4" s="30"/>
      <c r="H4" s="31"/>
      <c r="I4" s="218" t="s">
        <v>388</v>
      </c>
      <c r="J4" s="218" t="s">
        <v>389</v>
      </c>
      <c r="K4" s="218" t="s">
        <v>390</v>
      </c>
      <c r="L4" s="218" t="s">
        <v>391</v>
      </c>
      <c r="M4" s="218" t="s">
        <v>299</v>
      </c>
      <c r="N4" s="282" t="s">
        <v>301</v>
      </c>
      <c r="O4" s="30"/>
      <c r="P4" s="30"/>
      <c r="Q4" s="30"/>
      <c r="R4" s="31"/>
      <c r="S4" s="283" t="s">
        <v>303</v>
      </c>
      <c r="T4" s="30"/>
      <c r="U4" s="284" t="s">
        <v>393</v>
      </c>
      <c r="V4" s="8"/>
      <c r="W4" s="8"/>
      <c r="X4" s="8"/>
      <c r="Y4" s="8"/>
      <c r="Z4" s="8"/>
    </row>
    <row r="5" ht="18.75" customHeight="1">
      <c r="A5" s="224"/>
      <c r="B5" s="218"/>
      <c r="C5" s="218"/>
      <c r="D5" s="226" t="s">
        <v>305</v>
      </c>
      <c r="E5" s="226" t="s">
        <v>307</v>
      </c>
      <c r="F5" s="226" t="s">
        <v>394</v>
      </c>
      <c r="G5" s="226" t="s">
        <v>395</v>
      </c>
      <c r="H5" s="226" t="s">
        <v>289</v>
      </c>
      <c r="I5" s="226" t="s">
        <v>396</v>
      </c>
      <c r="J5" s="226" t="s">
        <v>313</v>
      </c>
      <c r="K5" s="226"/>
      <c r="L5" s="226" t="s">
        <v>306</v>
      </c>
      <c r="M5" s="226" t="s">
        <v>317</v>
      </c>
      <c r="N5" s="226" t="s">
        <v>318</v>
      </c>
      <c r="O5" s="226" t="s">
        <v>319</v>
      </c>
      <c r="P5" s="226" t="s">
        <v>320</v>
      </c>
      <c r="Q5" s="226" t="s">
        <v>321</v>
      </c>
      <c r="R5" s="226" t="s">
        <v>322</v>
      </c>
      <c r="S5" s="228" t="s">
        <v>324</v>
      </c>
      <c r="T5" s="285" t="s">
        <v>325</v>
      </c>
      <c r="U5" s="286" t="s">
        <v>393</v>
      </c>
      <c r="V5" s="8"/>
      <c r="W5" s="8"/>
      <c r="X5" s="8"/>
      <c r="Y5" s="8"/>
      <c r="Z5" s="8"/>
    </row>
    <row r="6" ht="13.5" customHeight="1">
      <c r="A6" s="217" t="s">
        <v>397</v>
      </c>
      <c r="B6" s="287" t="s">
        <v>326</v>
      </c>
      <c r="C6" s="288" t="s">
        <v>398</v>
      </c>
      <c r="D6" s="237" t="s">
        <v>112</v>
      </c>
      <c r="E6" s="232" t="s">
        <v>76</v>
      </c>
      <c r="F6" s="289">
        <v>440.0</v>
      </c>
      <c r="G6" s="289">
        <v>110.0</v>
      </c>
      <c r="H6" s="289">
        <v>120.0</v>
      </c>
      <c r="I6" s="289">
        <v>1.476</v>
      </c>
      <c r="J6" s="233" t="s">
        <v>328</v>
      </c>
      <c r="K6" s="232">
        <v>1.0</v>
      </c>
      <c r="L6" s="232" t="s">
        <v>327</v>
      </c>
      <c r="M6" s="232">
        <v>12.0</v>
      </c>
      <c r="N6" s="233" t="s">
        <v>328</v>
      </c>
      <c r="O6" s="234"/>
      <c r="P6" s="232" t="s">
        <v>329</v>
      </c>
      <c r="Q6" s="232">
        <v>67.0</v>
      </c>
      <c r="R6" s="233" t="s">
        <v>328</v>
      </c>
      <c r="S6" s="232" t="s">
        <v>330</v>
      </c>
      <c r="T6" s="290" t="s">
        <v>331</v>
      </c>
      <c r="U6" s="286" t="s">
        <v>400</v>
      </c>
      <c r="V6" s="8"/>
      <c r="W6" s="8"/>
      <c r="X6" s="8"/>
      <c r="Y6" s="8"/>
      <c r="Z6" s="8"/>
    </row>
    <row r="7" ht="13.5" customHeight="1">
      <c r="A7" s="291" t="s">
        <v>397</v>
      </c>
      <c r="B7" s="230" t="s">
        <v>326</v>
      </c>
      <c r="C7" s="230" t="s">
        <v>398</v>
      </c>
      <c r="D7" s="237" t="s">
        <v>116</v>
      </c>
      <c r="E7" s="232" t="s">
        <v>119</v>
      </c>
      <c r="F7" s="289"/>
      <c r="G7" s="289">
        <v>110.0</v>
      </c>
      <c r="H7" s="289">
        <v>120.0</v>
      </c>
      <c r="I7" s="289"/>
      <c r="J7" s="233" t="s">
        <v>328</v>
      </c>
      <c r="K7" s="232">
        <v>1.0</v>
      </c>
      <c r="L7" s="232" t="s">
        <v>333</v>
      </c>
      <c r="M7" s="232">
        <v>12.0</v>
      </c>
      <c r="N7" s="233" t="s">
        <v>328</v>
      </c>
      <c r="O7" s="234"/>
      <c r="P7" s="232" t="s">
        <v>329</v>
      </c>
      <c r="Q7" s="232">
        <v>67.0</v>
      </c>
      <c r="R7" s="233" t="s">
        <v>328</v>
      </c>
      <c r="S7" s="232" t="s">
        <v>330</v>
      </c>
      <c r="T7" s="290" t="s">
        <v>331</v>
      </c>
      <c r="U7" s="292" t="s">
        <v>400</v>
      </c>
      <c r="V7" s="8"/>
      <c r="W7" s="8"/>
      <c r="X7" s="8"/>
      <c r="Y7" s="8"/>
      <c r="Z7" s="8"/>
    </row>
    <row r="8" ht="13.5" customHeight="1">
      <c r="A8" s="217" t="s">
        <v>397</v>
      </c>
      <c r="B8" s="287" t="s">
        <v>326</v>
      </c>
      <c r="C8" s="288" t="s">
        <v>402</v>
      </c>
      <c r="D8" s="237" t="s">
        <v>120</v>
      </c>
      <c r="E8" s="232" t="s">
        <v>119</v>
      </c>
      <c r="F8" s="289">
        <v>782.0</v>
      </c>
      <c r="G8" s="289">
        <v>110.0</v>
      </c>
      <c r="H8" s="289">
        <v>120.0</v>
      </c>
      <c r="I8" s="289">
        <v>2.322</v>
      </c>
      <c r="J8" s="233" t="s">
        <v>328</v>
      </c>
      <c r="K8" s="232">
        <v>1.0</v>
      </c>
      <c r="L8" s="232" t="s">
        <v>334</v>
      </c>
      <c r="M8" s="232">
        <v>12.0</v>
      </c>
      <c r="N8" s="233" t="s">
        <v>328</v>
      </c>
      <c r="O8" s="234"/>
      <c r="P8" s="232" t="s">
        <v>329</v>
      </c>
      <c r="Q8" s="232">
        <v>67.0</v>
      </c>
      <c r="R8" s="233" t="s">
        <v>328</v>
      </c>
      <c r="S8" s="232" t="s">
        <v>330</v>
      </c>
      <c r="T8" s="290" t="s">
        <v>331</v>
      </c>
      <c r="U8" s="286" t="s">
        <v>400</v>
      </c>
      <c r="V8" s="8"/>
      <c r="W8" s="8"/>
      <c r="X8" s="8"/>
      <c r="Y8" s="8"/>
      <c r="Z8" s="8"/>
    </row>
    <row r="9" ht="13.5" customHeight="1">
      <c r="A9" s="291" t="s">
        <v>397</v>
      </c>
      <c r="B9" s="230" t="s">
        <v>326</v>
      </c>
      <c r="C9" s="230" t="s">
        <v>402</v>
      </c>
      <c r="D9" s="237" t="s">
        <v>123</v>
      </c>
      <c r="E9" s="232" t="s">
        <v>119</v>
      </c>
      <c r="F9" s="289">
        <v>1072.0</v>
      </c>
      <c r="G9" s="289">
        <v>110.0</v>
      </c>
      <c r="H9" s="289">
        <v>120.0</v>
      </c>
      <c r="I9" s="289">
        <v>3.002</v>
      </c>
      <c r="J9" s="233" t="s">
        <v>328</v>
      </c>
      <c r="K9" s="232">
        <v>1.0</v>
      </c>
      <c r="L9" s="232" t="s">
        <v>335</v>
      </c>
      <c r="M9" s="232">
        <v>12.0</v>
      </c>
      <c r="N9" s="233" t="s">
        <v>328</v>
      </c>
      <c r="O9" s="234"/>
      <c r="P9" s="232" t="s">
        <v>329</v>
      </c>
      <c r="Q9" s="232">
        <v>67.0</v>
      </c>
      <c r="R9" s="233" t="s">
        <v>328</v>
      </c>
      <c r="S9" s="232" t="s">
        <v>330</v>
      </c>
      <c r="T9" s="290" t="s">
        <v>331</v>
      </c>
      <c r="U9" s="292" t="s">
        <v>400</v>
      </c>
      <c r="V9" s="8"/>
      <c r="W9" s="8"/>
      <c r="X9" s="8"/>
      <c r="Y9" s="8"/>
      <c r="Z9" s="8"/>
    </row>
    <row r="10" ht="13.5" customHeight="1">
      <c r="A10" s="217" t="s">
        <v>397</v>
      </c>
      <c r="B10" s="287" t="s">
        <v>326</v>
      </c>
      <c r="C10" s="288" t="s">
        <v>403</v>
      </c>
      <c r="D10" s="237" t="s">
        <v>127</v>
      </c>
      <c r="E10" s="232" t="s">
        <v>119</v>
      </c>
      <c r="F10" s="289"/>
      <c r="G10" s="289">
        <v>110.0</v>
      </c>
      <c r="H10" s="289">
        <v>120.0</v>
      </c>
      <c r="I10" s="289"/>
      <c r="J10" s="233" t="s">
        <v>328</v>
      </c>
      <c r="K10" s="232">
        <v>1.0</v>
      </c>
      <c r="L10" s="232" t="s">
        <v>336</v>
      </c>
      <c r="M10" s="232">
        <v>12.0</v>
      </c>
      <c r="N10" s="233" t="s">
        <v>328</v>
      </c>
      <c r="O10" s="234"/>
      <c r="P10" s="232" t="s">
        <v>329</v>
      </c>
      <c r="Q10" s="232">
        <v>67.0</v>
      </c>
      <c r="R10" s="233" t="s">
        <v>328</v>
      </c>
      <c r="S10" s="232" t="s">
        <v>330</v>
      </c>
      <c r="T10" s="290" t="s">
        <v>331</v>
      </c>
      <c r="U10" s="293" t="s">
        <v>400</v>
      </c>
      <c r="V10" s="8"/>
      <c r="W10" s="8"/>
      <c r="X10" s="8"/>
      <c r="Y10" s="8"/>
      <c r="Z10" s="8"/>
    </row>
    <row r="11" ht="13.5" customHeight="1">
      <c r="A11" s="291" t="s">
        <v>397</v>
      </c>
      <c r="B11" s="287" t="s">
        <v>326</v>
      </c>
      <c r="C11" s="237"/>
      <c r="D11" s="237" t="s">
        <v>130</v>
      </c>
      <c r="E11" s="232" t="s">
        <v>133</v>
      </c>
      <c r="F11" s="289"/>
      <c r="G11" s="289">
        <v>110.0</v>
      </c>
      <c r="H11" s="289">
        <v>120.0</v>
      </c>
      <c r="I11" s="289"/>
      <c r="J11" s="233" t="s">
        <v>328</v>
      </c>
      <c r="K11" s="232">
        <v>1.0</v>
      </c>
      <c r="L11" s="232" t="s">
        <v>337</v>
      </c>
      <c r="M11" s="232">
        <v>12.0</v>
      </c>
      <c r="N11" s="234"/>
      <c r="O11" s="234"/>
      <c r="P11" s="232" t="s">
        <v>329</v>
      </c>
      <c r="Q11" s="232">
        <v>67.0</v>
      </c>
      <c r="R11" s="233" t="s">
        <v>328</v>
      </c>
      <c r="S11" s="232" t="s">
        <v>330</v>
      </c>
      <c r="T11" s="290" t="s">
        <v>331</v>
      </c>
      <c r="U11" s="286" t="s">
        <v>400</v>
      </c>
      <c r="V11" s="8"/>
      <c r="W11" s="8"/>
      <c r="X11" s="8"/>
      <c r="Y11" s="8"/>
      <c r="Z11" s="8"/>
    </row>
    <row r="12" ht="33.0" customHeight="1">
      <c r="A12" s="294" t="s">
        <v>404</v>
      </c>
      <c r="B12" s="225" t="s">
        <v>339</v>
      </c>
      <c r="C12" s="225" t="s">
        <v>402</v>
      </c>
      <c r="D12" s="225" t="s">
        <v>86</v>
      </c>
      <c r="E12" s="226" t="s">
        <v>341</v>
      </c>
      <c r="F12" s="295">
        <v>246.0</v>
      </c>
      <c r="G12" s="295">
        <v>190.0</v>
      </c>
      <c r="H12" s="295">
        <v>120.0</v>
      </c>
      <c r="I12" s="295">
        <v>2.375</v>
      </c>
      <c r="J12" s="240" t="s">
        <v>328</v>
      </c>
      <c r="K12" s="226">
        <v>2.0</v>
      </c>
      <c r="L12" s="226" t="s">
        <v>340</v>
      </c>
      <c r="M12" s="226">
        <v>12.0</v>
      </c>
      <c r="N12" s="240" t="s">
        <v>328</v>
      </c>
      <c r="O12" s="222"/>
      <c r="P12" s="226" t="s">
        <v>329</v>
      </c>
      <c r="Q12" s="226">
        <v>67.0</v>
      </c>
      <c r="R12" s="240" t="s">
        <v>328</v>
      </c>
      <c r="S12" s="226" t="s">
        <v>344</v>
      </c>
      <c r="T12" s="215" t="s">
        <v>331</v>
      </c>
      <c r="U12" s="292" t="s">
        <v>400</v>
      </c>
      <c r="V12" s="8"/>
      <c r="W12" s="8"/>
      <c r="X12" s="8"/>
      <c r="Y12" s="8"/>
      <c r="Z12" s="8"/>
    </row>
    <row r="13" ht="33.0" customHeight="1">
      <c r="A13" s="294" t="s">
        <v>404</v>
      </c>
      <c r="B13" s="225" t="s">
        <v>339</v>
      </c>
      <c r="C13" s="225" t="s">
        <v>402</v>
      </c>
      <c r="D13" s="225" t="s">
        <v>81</v>
      </c>
      <c r="E13" s="226" t="s">
        <v>341</v>
      </c>
      <c r="F13" s="295">
        <v>246.0</v>
      </c>
      <c r="G13" s="295">
        <v>190.0</v>
      </c>
      <c r="H13" s="295">
        <v>120.0</v>
      </c>
      <c r="I13" s="295">
        <v>2.375</v>
      </c>
      <c r="J13" s="240" t="s">
        <v>328</v>
      </c>
      <c r="K13" s="226">
        <v>2.0</v>
      </c>
      <c r="L13" s="226" t="s">
        <v>340</v>
      </c>
      <c r="M13" s="226">
        <v>12.0</v>
      </c>
      <c r="N13" s="222"/>
      <c r="O13" s="222"/>
      <c r="P13" s="226" t="s">
        <v>329</v>
      </c>
      <c r="Q13" s="226">
        <v>67.0</v>
      </c>
      <c r="R13" s="240" t="s">
        <v>328</v>
      </c>
      <c r="S13" s="226" t="s">
        <v>344</v>
      </c>
      <c r="T13" s="215" t="s">
        <v>331</v>
      </c>
      <c r="U13" s="286" t="s">
        <v>400</v>
      </c>
      <c r="V13" s="8"/>
      <c r="W13" s="8"/>
      <c r="X13" s="8"/>
      <c r="Y13" s="8"/>
      <c r="Z13" s="8"/>
    </row>
    <row r="14" ht="33.0" customHeight="1">
      <c r="A14" s="294" t="s">
        <v>404</v>
      </c>
      <c r="B14" s="244">
        <v>2000.0</v>
      </c>
      <c r="C14" s="244" t="s">
        <v>406</v>
      </c>
      <c r="D14" s="251" t="s">
        <v>74</v>
      </c>
      <c r="E14" s="246" t="s">
        <v>76</v>
      </c>
      <c r="F14" s="296">
        <v>229.0</v>
      </c>
      <c r="G14" s="296">
        <v>217.0</v>
      </c>
      <c r="H14" s="296">
        <v>130.0</v>
      </c>
      <c r="I14" s="296">
        <v>1.663</v>
      </c>
      <c r="J14" s="247" t="s">
        <v>328</v>
      </c>
      <c r="K14" s="246">
        <v>2.0</v>
      </c>
      <c r="L14" s="246" t="s">
        <v>346</v>
      </c>
      <c r="M14" s="246">
        <v>12.0</v>
      </c>
      <c r="N14" s="248"/>
      <c r="O14" s="248"/>
      <c r="P14" s="246" t="s">
        <v>329</v>
      </c>
      <c r="Q14" s="246">
        <v>67.0</v>
      </c>
      <c r="R14" s="247" t="s">
        <v>328</v>
      </c>
      <c r="S14" s="246" t="s">
        <v>344</v>
      </c>
      <c r="T14" s="297" t="s">
        <v>331</v>
      </c>
      <c r="U14" s="292" t="s">
        <v>400</v>
      </c>
      <c r="V14" s="8"/>
      <c r="W14" s="8"/>
      <c r="X14" s="8"/>
      <c r="Y14" s="8"/>
      <c r="Z14" s="8"/>
    </row>
    <row r="15" ht="33.0" customHeight="1">
      <c r="A15" s="294" t="s">
        <v>404</v>
      </c>
      <c r="B15" s="298">
        <v>2000.0</v>
      </c>
      <c r="C15" s="298" t="s">
        <v>406</v>
      </c>
      <c r="D15" s="251" t="s">
        <v>79</v>
      </c>
      <c r="E15" s="246" t="s">
        <v>73</v>
      </c>
      <c r="F15" s="296">
        <v>229.0</v>
      </c>
      <c r="G15" s="296">
        <v>217.0</v>
      </c>
      <c r="H15" s="296">
        <v>130.0</v>
      </c>
      <c r="I15" s="296">
        <v>1.663</v>
      </c>
      <c r="J15" s="247" t="s">
        <v>328</v>
      </c>
      <c r="K15" s="246">
        <v>2.0</v>
      </c>
      <c r="L15" s="246" t="s">
        <v>346</v>
      </c>
      <c r="M15" s="246">
        <v>12.0</v>
      </c>
      <c r="N15" s="248"/>
      <c r="O15" s="248"/>
      <c r="P15" s="246" t="s">
        <v>329</v>
      </c>
      <c r="Q15" s="246">
        <v>67.0</v>
      </c>
      <c r="R15" s="247" t="s">
        <v>328</v>
      </c>
      <c r="S15" s="246" t="s">
        <v>344</v>
      </c>
      <c r="T15" s="297" t="s">
        <v>331</v>
      </c>
      <c r="U15" s="286" t="s">
        <v>400</v>
      </c>
      <c r="V15" s="8"/>
      <c r="W15" s="8"/>
      <c r="X15" s="8"/>
      <c r="Y15" s="8"/>
      <c r="Z15" s="8"/>
    </row>
    <row r="16" ht="33.0" customHeight="1">
      <c r="A16" s="294" t="s">
        <v>404</v>
      </c>
      <c r="B16" s="244">
        <v>2000.0</v>
      </c>
      <c r="C16" s="244" t="s">
        <v>406</v>
      </c>
      <c r="D16" s="251" t="s">
        <v>77</v>
      </c>
      <c r="E16" s="246" t="s">
        <v>76</v>
      </c>
      <c r="F16" s="296">
        <v>229.0</v>
      </c>
      <c r="G16" s="296">
        <v>217.0</v>
      </c>
      <c r="H16" s="296">
        <v>130.0</v>
      </c>
      <c r="I16" s="296">
        <v>1.663</v>
      </c>
      <c r="J16" s="247" t="s">
        <v>328</v>
      </c>
      <c r="K16" s="246">
        <v>2.0</v>
      </c>
      <c r="L16" s="246" t="s">
        <v>346</v>
      </c>
      <c r="M16" s="246">
        <v>12.0</v>
      </c>
      <c r="N16" s="248"/>
      <c r="O16" s="248"/>
      <c r="P16" s="246" t="s">
        <v>329</v>
      </c>
      <c r="Q16" s="246">
        <v>67.0</v>
      </c>
      <c r="R16" s="247" t="s">
        <v>328</v>
      </c>
      <c r="S16" s="246" t="s">
        <v>344</v>
      </c>
      <c r="T16" s="297" t="s">
        <v>331</v>
      </c>
      <c r="U16" s="292" t="s">
        <v>400</v>
      </c>
      <c r="V16" s="8"/>
      <c r="W16" s="8"/>
      <c r="X16" s="8"/>
      <c r="Y16" s="8"/>
      <c r="Z16" s="8"/>
    </row>
    <row r="17" ht="33.0" customHeight="1">
      <c r="A17" s="291" t="s">
        <v>404</v>
      </c>
      <c r="B17" s="298">
        <v>2000.0</v>
      </c>
      <c r="C17" s="298" t="s">
        <v>406</v>
      </c>
      <c r="D17" s="251" t="s">
        <v>66</v>
      </c>
      <c r="E17" s="246" t="s">
        <v>73</v>
      </c>
      <c r="F17" s="296">
        <v>229.0</v>
      </c>
      <c r="G17" s="296">
        <v>217.0</v>
      </c>
      <c r="H17" s="296">
        <v>130.0</v>
      </c>
      <c r="I17" s="296">
        <v>1.663</v>
      </c>
      <c r="J17" s="247" t="s">
        <v>328</v>
      </c>
      <c r="K17" s="246">
        <v>2.0</v>
      </c>
      <c r="L17" s="246" t="s">
        <v>346</v>
      </c>
      <c r="M17" s="246">
        <v>12.0</v>
      </c>
      <c r="N17" s="248"/>
      <c r="O17" s="248"/>
      <c r="P17" s="246" t="s">
        <v>329</v>
      </c>
      <c r="Q17" s="246">
        <v>67.0</v>
      </c>
      <c r="R17" s="247" t="s">
        <v>328</v>
      </c>
      <c r="S17" s="246" t="s">
        <v>344</v>
      </c>
      <c r="T17" s="297" t="s">
        <v>331</v>
      </c>
      <c r="U17" s="286" t="s">
        <v>400</v>
      </c>
      <c r="V17" s="8"/>
      <c r="W17" s="8"/>
      <c r="X17" s="8"/>
      <c r="Y17" s="8"/>
      <c r="Z17" s="8"/>
    </row>
    <row r="18" ht="39.75" customHeight="1">
      <c r="A18" s="299" t="s">
        <v>355</v>
      </c>
      <c r="B18" s="299" t="s">
        <v>356</v>
      </c>
      <c r="C18" s="300" t="s">
        <v>407</v>
      </c>
      <c r="D18" s="225" t="s">
        <v>135</v>
      </c>
      <c r="E18" s="226" t="s">
        <v>408</v>
      </c>
      <c r="F18" s="295">
        <v>574.0</v>
      </c>
      <c r="G18" s="295">
        <v>275.0</v>
      </c>
      <c r="H18" s="295">
        <v>144.0</v>
      </c>
      <c r="I18" s="295">
        <v>5.896</v>
      </c>
      <c r="J18" s="240" t="s">
        <v>328</v>
      </c>
      <c r="K18" s="226">
        <v>2.0</v>
      </c>
      <c r="L18" s="226" t="s">
        <v>327</v>
      </c>
      <c r="M18" s="252">
        <v>12.0</v>
      </c>
      <c r="N18" s="240" t="s">
        <v>328</v>
      </c>
      <c r="O18" s="222"/>
      <c r="P18" s="226" t="s">
        <v>329</v>
      </c>
      <c r="Q18" s="226">
        <v>68.0</v>
      </c>
      <c r="R18" s="240" t="s">
        <v>328</v>
      </c>
      <c r="S18" s="226" t="s">
        <v>354</v>
      </c>
      <c r="T18" s="215" t="s">
        <v>331</v>
      </c>
      <c r="U18" s="292" t="s">
        <v>400</v>
      </c>
      <c r="V18" s="8"/>
      <c r="W18" s="8"/>
      <c r="X18" s="8"/>
      <c r="Y18" s="8"/>
      <c r="Z18" s="8"/>
    </row>
    <row r="19" ht="39.75" customHeight="1">
      <c r="A19" s="253" t="s">
        <v>355</v>
      </c>
      <c r="B19" s="253" t="s">
        <v>356</v>
      </c>
      <c r="C19" s="254" t="s">
        <v>407</v>
      </c>
      <c r="D19" s="225" t="s">
        <v>142</v>
      </c>
      <c r="E19" s="226" t="s">
        <v>408</v>
      </c>
      <c r="F19" s="301">
        <v>574.0</v>
      </c>
      <c r="G19" s="301">
        <v>275.0</v>
      </c>
      <c r="H19" s="301">
        <v>144.0</v>
      </c>
      <c r="I19" s="301">
        <v>5.896</v>
      </c>
      <c r="J19" s="255" t="s">
        <v>328</v>
      </c>
      <c r="K19" s="252">
        <v>2.0</v>
      </c>
      <c r="L19" s="252" t="s">
        <v>327</v>
      </c>
      <c r="M19" s="252">
        <v>12.0</v>
      </c>
      <c r="N19" s="256"/>
      <c r="O19" s="256"/>
      <c r="P19" s="252" t="s">
        <v>329</v>
      </c>
      <c r="Q19" s="252">
        <v>68.0</v>
      </c>
      <c r="R19" s="255" t="s">
        <v>328</v>
      </c>
      <c r="S19" s="252" t="s">
        <v>354</v>
      </c>
      <c r="T19" s="302" t="s">
        <v>331</v>
      </c>
      <c r="U19" s="286" t="s">
        <v>400</v>
      </c>
      <c r="V19" s="8"/>
      <c r="W19" s="8"/>
      <c r="X19" s="8"/>
      <c r="Y19" s="8"/>
      <c r="Z19" s="8"/>
    </row>
    <row r="20" ht="39.75" customHeight="1">
      <c r="A20" s="299" t="s">
        <v>355</v>
      </c>
      <c r="B20" s="299" t="s">
        <v>356</v>
      </c>
      <c r="C20" s="303" t="s">
        <v>407</v>
      </c>
      <c r="D20" s="225" t="s">
        <v>145</v>
      </c>
      <c r="E20" s="226" t="s">
        <v>408</v>
      </c>
      <c r="F20" s="301">
        <v>770.0</v>
      </c>
      <c r="G20" s="301">
        <v>300.0</v>
      </c>
      <c r="H20" s="301">
        <v>175.0</v>
      </c>
      <c r="I20" s="301">
        <v>9.394</v>
      </c>
      <c r="J20" s="255" t="s">
        <v>328</v>
      </c>
      <c r="K20" s="252">
        <v>2.0</v>
      </c>
      <c r="L20" s="252" t="s">
        <v>359</v>
      </c>
      <c r="M20" s="252">
        <v>12.0</v>
      </c>
      <c r="N20" s="240" t="s">
        <v>328</v>
      </c>
      <c r="O20" s="256"/>
      <c r="P20" s="252" t="s">
        <v>329</v>
      </c>
      <c r="Q20" s="252">
        <v>68.0</v>
      </c>
      <c r="R20" s="255" t="s">
        <v>328</v>
      </c>
      <c r="S20" s="252" t="s">
        <v>354</v>
      </c>
      <c r="T20" s="302" t="s">
        <v>331</v>
      </c>
      <c r="U20" s="292" t="s">
        <v>400</v>
      </c>
      <c r="V20" s="8"/>
      <c r="W20" s="8"/>
      <c r="X20" s="8"/>
      <c r="Y20" s="8"/>
      <c r="Z20" s="8"/>
    </row>
    <row r="21" ht="39.75" customHeight="1">
      <c r="A21" s="304" t="s">
        <v>355</v>
      </c>
      <c r="B21" s="325" t="s">
        <v>361</v>
      </c>
      <c r="C21" s="326" t="s">
        <v>411</v>
      </c>
      <c r="D21" s="327" t="s">
        <v>98</v>
      </c>
      <c r="E21" s="264" t="s">
        <v>363</v>
      </c>
      <c r="F21" s="328">
        <v>240.0</v>
      </c>
      <c r="G21" s="328">
        <v>184.0</v>
      </c>
      <c r="H21" s="328">
        <v>117.0</v>
      </c>
      <c r="I21" s="328">
        <v>1.953</v>
      </c>
      <c r="J21" s="265" t="s">
        <v>328</v>
      </c>
      <c r="K21" s="264">
        <v>2.0</v>
      </c>
      <c r="L21" s="264" t="s">
        <v>365</v>
      </c>
      <c r="M21" s="264">
        <v>12.0</v>
      </c>
      <c r="N21" s="266"/>
      <c r="O21" s="266"/>
      <c r="P21" s="264" t="s">
        <v>329</v>
      </c>
      <c r="Q21" s="264">
        <v>67.0</v>
      </c>
      <c r="R21" s="265" t="s">
        <v>328</v>
      </c>
      <c r="S21" s="264" t="s">
        <v>354</v>
      </c>
      <c r="T21" s="329" t="s">
        <v>331</v>
      </c>
      <c r="U21" s="286" t="s">
        <v>400</v>
      </c>
      <c r="V21" s="8"/>
      <c r="W21" s="8"/>
      <c r="X21" s="8"/>
      <c r="Y21" s="8"/>
      <c r="Z21" s="8"/>
    </row>
    <row r="22" ht="39.75" customHeight="1">
      <c r="A22" s="304" t="s">
        <v>355</v>
      </c>
      <c r="B22" s="330" t="s">
        <v>361</v>
      </c>
      <c r="C22" s="331" t="s">
        <v>414</v>
      </c>
      <c r="D22" s="327" t="s">
        <v>109</v>
      </c>
      <c r="E22" s="264" t="s">
        <v>363</v>
      </c>
      <c r="F22" s="328">
        <v>240.0</v>
      </c>
      <c r="G22" s="328">
        <v>184.0</v>
      </c>
      <c r="H22" s="328">
        <v>117.0</v>
      </c>
      <c r="I22" s="328">
        <v>1.948</v>
      </c>
      <c r="J22" s="265" t="s">
        <v>328</v>
      </c>
      <c r="K22" s="264">
        <v>2.0</v>
      </c>
      <c r="L22" s="264" t="s">
        <v>365</v>
      </c>
      <c r="M22" s="264">
        <v>12.0</v>
      </c>
      <c r="N22" s="265" t="s">
        <v>328</v>
      </c>
      <c r="O22" s="266"/>
      <c r="P22" s="264" t="s">
        <v>329</v>
      </c>
      <c r="Q22" s="264">
        <v>67.0</v>
      </c>
      <c r="R22" s="265" t="s">
        <v>328</v>
      </c>
      <c r="S22" s="264" t="s">
        <v>354</v>
      </c>
      <c r="T22" s="329" t="s">
        <v>331</v>
      </c>
      <c r="U22" s="292" t="s">
        <v>400</v>
      </c>
      <c r="V22" s="8"/>
      <c r="W22" s="8"/>
      <c r="X22" s="8"/>
      <c r="Y22" s="8"/>
      <c r="Z22" s="8"/>
    </row>
    <row r="23" ht="39.75" customHeight="1">
      <c r="A23" s="304" t="s">
        <v>355</v>
      </c>
      <c r="B23" s="325" t="s">
        <v>361</v>
      </c>
      <c r="C23" s="326"/>
      <c r="D23" s="327" t="s">
        <v>103</v>
      </c>
      <c r="E23" s="264" t="s">
        <v>373</v>
      </c>
      <c r="F23" s="328">
        <v>240.0</v>
      </c>
      <c r="G23" s="328">
        <v>184.0</v>
      </c>
      <c r="H23" s="328">
        <v>117.0</v>
      </c>
      <c r="I23" s="328">
        <v>1.943</v>
      </c>
      <c r="J23" s="265" t="s">
        <v>328</v>
      </c>
      <c r="K23" s="264">
        <v>2.0</v>
      </c>
      <c r="L23" s="264" t="s">
        <v>365</v>
      </c>
      <c r="M23" s="264">
        <v>12.0</v>
      </c>
      <c r="N23" s="265" t="s">
        <v>328</v>
      </c>
      <c r="O23" s="266"/>
      <c r="P23" s="264" t="s">
        <v>329</v>
      </c>
      <c r="Q23" s="264">
        <v>67.0</v>
      </c>
      <c r="R23" s="265" t="s">
        <v>328</v>
      </c>
      <c r="S23" s="264" t="s">
        <v>354</v>
      </c>
      <c r="T23" s="329" t="s">
        <v>331</v>
      </c>
      <c r="U23" s="286" t="s">
        <v>400</v>
      </c>
      <c r="V23" s="8"/>
      <c r="W23" s="8"/>
      <c r="X23" s="8"/>
      <c r="Y23" s="8"/>
      <c r="Z23" s="8"/>
    </row>
    <row r="24" ht="39.75" customHeight="1">
      <c r="A24" s="304" t="s">
        <v>355</v>
      </c>
      <c r="B24" s="332" t="s">
        <v>361</v>
      </c>
      <c r="C24" s="333"/>
      <c r="D24" s="334" t="s">
        <v>107</v>
      </c>
      <c r="E24" s="264" t="s">
        <v>373</v>
      </c>
      <c r="F24" s="328">
        <v>240.0</v>
      </c>
      <c r="G24" s="328">
        <v>184.0</v>
      </c>
      <c r="H24" s="328">
        <v>117.0</v>
      </c>
      <c r="I24" s="328">
        <v>1.938</v>
      </c>
      <c r="J24" s="265" t="s">
        <v>328</v>
      </c>
      <c r="K24" s="264">
        <v>2.0</v>
      </c>
      <c r="L24" s="264" t="s">
        <v>365</v>
      </c>
      <c r="M24" s="264">
        <v>12.0</v>
      </c>
      <c r="N24" s="265" t="s">
        <v>328</v>
      </c>
      <c r="O24" s="266"/>
      <c r="P24" s="264" t="s">
        <v>329</v>
      </c>
      <c r="Q24" s="264">
        <v>67.0</v>
      </c>
      <c r="R24" s="265" t="s">
        <v>328</v>
      </c>
      <c r="S24" s="264" t="s">
        <v>354</v>
      </c>
      <c r="T24" s="329" t="s">
        <v>331</v>
      </c>
      <c r="U24" s="292" t="s">
        <v>400</v>
      </c>
      <c r="V24" s="8"/>
      <c r="W24" s="8"/>
      <c r="X24" s="8"/>
      <c r="Y24" s="8"/>
      <c r="Z24" s="8"/>
    </row>
    <row r="25" ht="36.75" customHeight="1">
      <c r="A25" s="304" t="s">
        <v>416</v>
      </c>
      <c r="B25" s="333"/>
      <c r="C25" s="333"/>
      <c r="D25" s="334" t="s">
        <v>150</v>
      </c>
      <c r="E25" s="264" t="s">
        <v>440</v>
      </c>
      <c r="F25" s="328"/>
      <c r="G25" s="328"/>
      <c r="H25" s="328"/>
      <c r="I25" s="328"/>
      <c r="J25" s="265"/>
      <c r="K25" s="264"/>
      <c r="L25" s="264"/>
      <c r="M25" s="264"/>
      <c r="N25" s="265"/>
      <c r="O25" s="266"/>
      <c r="P25" s="264"/>
      <c r="Q25" s="264"/>
      <c r="R25" s="265"/>
      <c r="S25" s="264"/>
      <c r="T25" s="329"/>
      <c r="U25" s="286" t="s">
        <v>432</v>
      </c>
      <c r="V25" s="8"/>
      <c r="W25" s="8"/>
      <c r="X25" s="8"/>
      <c r="Y25" s="8"/>
      <c r="Z25" s="8"/>
    </row>
    <row r="26" ht="36.75" customHeight="1">
      <c r="A26" s="304" t="s">
        <v>416</v>
      </c>
      <c r="B26" s="333"/>
      <c r="C26" s="333"/>
      <c r="D26" s="334" t="s">
        <v>156</v>
      </c>
      <c r="E26" s="264" t="s">
        <v>440</v>
      </c>
      <c r="F26" s="328"/>
      <c r="G26" s="328"/>
      <c r="H26" s="328"/>
      <c r="I26" s="328"/>
      <c r="J26" s="265"/>
      <c r="K26" s="264"/>
      <c r="L26" s="264"/>
      <c r="M26" s="264"/>
      <c r="N26" s="265"/>
      <c r="O26" s="266"/>
      <c r="P26" s="264"/>
      <c r="Q26" s="264"/>
      <c r="R26" s="265"/>
      <c r="S26" s="264"/>
      <c r="T26" s="329"/>
      <c r="U26" s="292" t="s">
        <v>432</v>
      </c>
      <c r="V26" s="8"/>
      <c r="W26" s="8"/>
      <c r="X26" s="8"/>
      <c r="Y26" s="8"/>
      <c r="Z26" s="8"/>
    </row>
    <row r="27" ht="39.0" customHeight="1">
      <c r="A27" s="304" t="s">
        <v>416</v>
      </c>
      <c r="B27" s="333"/>
      <c r="C27" s="333"/>
      <c r="D27" s="334" t="s">
        <v>418</v>
      </c>
      <c r="E27" s="264" t="s">
        <v>419</v>
      </c>
      <c r="F27" s="328"/>
      <c r="G27" s="328"/>
      <c r="H27" s="328"/>
      <c r="I27" s="328"/>
      <c r="J27" s="265"/>
      <c r="K27" s="264"/>
      <c r="L27" s="264"/>
      <c r="M27" s="264"/>
      <c r="N27" s="265"/>
      <c r="O27" s="266"/>
      <c r="P27" s="264"/>
      <c r="Q27" s="264"/>
      <c r="R27" s="265"/>
      <c r="S27" s="264"/>
      <c r="T27" s="329"/>
      <c r="U27" s="286" t="s">
        <v>432</v>
      </c>
      <c r="V27" s="8"/>
      <c r="W27" s="8"/>
      <c r="X27" s="8"/>
      <c r="Y27" s="8"/>
      <c r="Z27" s="8"/>
    </row>
    <row r="28" ht="39.75" customHeight="1">
      <c r="A28" s="308" t="s">
        <v>355</v>
      </c>
      <c r="B28" s="225" t="s">
        <v>374</v>
      </c>
      <c r="C28" s="225" t="s">
        <v>420</v>
      </c>
      <c r="D28" s="305" t="s">
        <v>89</v>
      </c>
      <c r="E28" s="252" t="s">
        <v>341</v>
      </c>
      <c r="F28" s="295">
        <v>222.0</v>
      </c>
      <c r="G28" s="295">
        <v>168.0</v>
      </c>
      <c r="H28" s="295">
        <v>110.0</v>
      </c>
      <c r="I28" s="295">
        <v>1.454</v>
      </c>
      <c r="J28" s="265" t="s">
        <v>328</v>
      </c>
      <c r="K28" s="264">
        <v>2.0</v>
      </c>
      <c r="L28" s="252" t="s">
        <v>376</v>
      </c>
      <c r="M28" s="252">
        <v>12.0</v>
      </c>
      <c r="N28" s="222"/>
      <c r="O28" s="222"/>
      <c r="P28" s="252" t="s">
        <v>329</v>
      </c>
      <c r="Q28" s="252">
        <v>68.0</v>
      </c>
      <c r="R28" s="255" t="s">
        <v>328</v>
      </c>
      <c r="S28" s="252" t="s">
        <v>354</v>
      </c>
      <c r="T28" s="302" t="s">
        <v>331</v>
      </c>
      <c r="U28" s="286" t="s">
        <v>400</v>
      </c>
      <c r="V28" s="8"/>
      <c r="W28" s="8"/>
      <c r="X28" s="8"/>
      <c r="Y28" s="8"/>
      <c r="Z28" s="8"/>
    </row>
    <row r="29" ht="13.5" customHeight="1">
      <c r="A29" s="211"/>
      <c r="B29" s="210"/>
      <c r="C29" s="210"/>
      <c r="D29" s="211"/>
      <c r="E29" s="210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8"/>
      <c r="V29" s="8"/>
      <c r="W29" s="8"/>
      <c r="X29" s="8"/>
      <c r="Y29" s="8"/>
      <c r="Z29" s="8"/>
    </row>
    <row r="30" ht="43.5" customHeight="1">
      <c r="A30" s="283" t="s">
        <v>423</v>
      </c>
      <c r="B30" s="310"/>
      <c r="C30" s="311" t="s">
        <v>424</v>
      </c>
      <c r="D30" s="310" t="s">
        <v>425</v>
      </c>
      <c r="E30" s="310" t="s">
        <v>426</v>
      </c>
      <c r="F30" s="312">
        <v>216.0</v>
      </c>
      <c r="G30" s="310">
        <v>170.0</v>
      </c>
      <c r="H30" s="312">
        <v>55.0</v>
      </c>
      <c r="I30" s="310">
        <v>0.504</v>
      </c>
      <c r="J30" s="313"/>
      <c r="K30" s="314"/>
      <c r="L30" s="313"/>
      <c r="M30" s="312" t="s">
        <v>428</v>
      </c>
      <c r="N30" s="313"/>
      <c r="O30" s="314"/>
      <c r="P30" s="313"/>
      <c r="Q30" s="314"/>
      <c r="R30" s="313"/>
      <c r="S30" s="313"/>
      <c r="T30" s="314"/>
      <c r="U30" s="315" t="s">
        <v>432</v>
      </c>
      <c r="V30" s="8"/>
      <c r="W30" s="8"/>
      <c r="X30" s="8"/>
      <c r="Y30" s="8"/>
      <c r="Z30" s="8"/>
    </row>
    <row r="31" ht="43.5" customHeight="1">
      <c r="A31" s="316" t="s">
        <v>423</v>
      </c>
      <c r="B31" s="317"/>
      <c r="C31" s="318" t="s">
        <v>433</v>
      </c>
      <c r="D31" s="317" t="s">
        <v>434</v>
      </c>
      <c r="E31" s="317" t="s">
        <v>435</v>
      </c>
      <c r="F31" s="215">
        <v>230.0</v>
      </c>
      <c r="G31" s="317">
        <v>183.0</v>
      </c>
      <c r="H31" s="215">
        <v>100.0</v>
      </c>
      <c r="I31" s="317">
        <v>0.597</v>
      </c>
      <c r="J31" s="216"/>
      <c r="K31" s="319"/>
      <c r="L31" s="216"/>
      <c r="M31" s="215" t="s">
        <v>436</v>
      </c>
      <c r="N31" s="216"/>
      <c r="O31" s="319"/>
      <c r="P31" s="216"/>
      <c r="Q31" s="319"/>
      <c r="R31" s="216"/>
      <c r="S31" s="216"/>
      <c r="T31" s="319"/>
      <c r="U31" s="320" t="s">
        <v>432</v>
      </c>
      <c r="V31" s="8"/>
      <c r="W31" s="8"/>
      <c r="X31" s="8"/>
      <c r="Y31" s="8"/>
      <c r="Z31" s="8"/>
    </row>
    <row r="32" ht="13.5" customHeight="1">
      <c r="A32" s="211"/>
      <c r="B32" s="210"/>
      <c r="C32" s="210"/>
      <c r="D32" s="211"/>
      <c r="E32" s="210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8"/>
      <c r="V32" s="8"/>
      <c r="W32" s="8"/>
      <c r="X32" s="8"/>
      <c r="Y32" s="8"/>
      <c r="Z32" s="8"/>
    </row>
    <row r="33" ht="13.5" customHeight="1">
      <c r="A33" s="211"/>
      <c r="B33" s="210"/>
      <c r="C33" s="210"/>
      <c r="D33" s="211"/>
      <c r="E33" s="210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8"/>
      <c r="V33" s="8"/>
      <c r="W33" s="8"/>
      <c r="X33" s="8"/>
      <c r="Y33" s="8"/>
      <c r="Z33" s="8"/>
    </row>
    <row r="34" ht="13.5" customHeight="1">
      <c r="A34" s="211"/>
      <c r="B34" s="210"/>
      <c r="C34" s="210"/>
      <c r="D34" s="211"/>
      <c r="E34" s="210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8"/>
      <c r="V34" s="8"/>
      <c r="W34" s="8"/>
      <c r="X34" s="8"/>
      <c r="Y34" s="8"/>
      <c r="Z34" s="8"/>
    </row>
    <row r="35" ht="13.5" customHeight="1">
      <c r="A35" s="211"/>
      <c r="B35" s="210"/>
      <c r="C35" s="210"/>
      <c r="D35" s="211"/>
      <c r="E35" s="210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8"/>
      <c r="V35" s="8"/>
      <c r="W35" s="8"/>
      <c r="X35" s="8"/>
      <c r="Y35" s="8"/>
      <c r="Z35" s="8"/>
    </row>
    <row r="36" ht="13.5" customHeight="1">
      <c r="A36" s="211"/>
      <c r="B36" s="210"/>
      <c r="C36" s="210"/>
      <c r="D36" s="211"/>
      <c r="E36" s="210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8"/>
      <c r="V36" s="8"/>
      <c r="W36" s="8"/>
      <c r="X36" s="8"/>
      <c r="Y36" s="8"/>
      <c r="Z36" s="8"/>
    </row>
    <row r="37" ht="13.5" customHeight="1">
      <c r="A37" s="211"/>
      <c r="B37" s="210"/>
      <c r="C37" s="210"/>
      <c r="D37" s="211"/>
      <c r="E37" s="210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8"/>
      <c r="V37" s="8"/>
      <c r="W37" s="8"/>
      <c r="X37" s="8"/>
      <c r="Y37" s="8"/>
      <c r="Z37" s="8"/>
    </row>
    <row r="38" ht="13.5" customHeight="1">
      <c r="A38" s="211"/>
      <c r="B38" s="210"/>
      <c r="C38" s="210"/>
      <c r="D38" s="211"/>
      <c r="E38" s="210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8"/>
      <c r="V38" s="8"/>
      <c r="W38" s="8"/>
      <c r="X38" s="8"/>
      <c r="Y38" s="8"/>
      <c r="Z38" s="8"/>
    </row>
    <row r="39" ht="13.5" customHeight="1">
      <c r="A39" s="211"/>
      <c r="B39" s="210"/>
      <c r="C39" s="210"/>
      <c r="D39" s="211"/>
      <c r="E39" s="210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8"/>
      <c r="V39" s="8"/>
      <c r="W39" s="8"/>
      <c r="X39" s="8"/>
      <c r="Y39" s="8"/>
      <c r="Z39" s="8"/>
    </row>
    <row r="40" ht="13.5" customHeight="1">
      <c r="A40" s="211"/>
      <c r="B40" s="210"/>
      <c r="C40" s="210"/>
      <c r="D40" s="211"/>
      <c r="E40" s="210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8"/>
      <c r="V40" s="8"/>
      <c r="W40" s="8"/>
      <c r="X40" s="8"/>
      <c r="Y40" s="8"/>
      <c r="Z40" s="8"/>
    </row>
    <row r="41" ht="13.5" customHeight="1">
      <c r="A41" s="211"/>
      <c r="B41" s="210"/>
      <c r="C41" s="210"/>
      <c r="D41" s="211"/>
      <c r="E41" s="210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8"/>
      <c r="V41" s="8"/>
      <c r="W41" s="8"/>
      <c r="X41" s="8"/>
      <c r="Y41" s="8"/>
      <c r="Z41" s="8"/>
    </row>
    <row r="42" ht="13.5" customHeight="1">
      <c r="A42" s="211"/>
      <c r="B42" s="210"/>
      <c r="C42" s="210"/>
      <c r="D42" s="211"/>
      <c r="E42" s="210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8"/>
      <c r="V42" s="8"/>
      <c r="W42" s="8"/>
      <c r="X42" s="8"/>
      <c r="Y42" s="8"/>
      <c r="Z42" s="8"/>
    </row>
    <row r="43" ht="13.5" customHeight="1">
      <c r="A43" s="211"/>
      <c r="B43" s="210"/>
      <c r="C43" s="210"/>
      <c r="D43" s="211"/>
      <c r="E43" s="210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8"/>
      <c r="V43" s="8"/>
      <c r="W43" s="8"/>
      <c r="X43" s="8"/>
      <c r="Y43" s="8"/>
      <c r="Z43" s="8"/>
    </row>
    <row r="44" ht="13.5" customHeight="1">
      <c r="A44" s="211"/>
      <c r="B44" s="210"/>
      <c r="C44" s="210"/>
      <c r="D44" s="211"/>
      <c r="E44" s="210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8"/>
      <c r="V44" s="8"/>
      <c r="W44" s="8"/>
      <c r="X44" s="8"/>
      <c r="Y44" s="8"/>
      <c r="Z44" s="8"/>
    </row>
    <row r="45" ht="13.5" customHeight="1">
      <c r="A45" s="211"/>
      <c r="B45" s="210"/>
      <c r="C45" s="210"/>
      <c r="D45" s="211"/>
      <c r="E45" s="210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8"/>
      <c r="V45" s="8"/>
      <c r="W45" s="8"/>
      <c r="X45" s="8"/>
      <c r="Y45" s="8"/>
      <c r="Z45" s="8"/>
    </row>
    <row r="46" ht="13.5" customHeight="1">
      <c r="A46" s="211"/>
      <c r="B46" s="210"/>
      <c r="C46" s="210"/>
      <c r="D46" s="211"/>
      <c r="E46" s="210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8"/>
      <c r="V46" s="8"/>
      <c r="W46" s="8"/>
      <c r="X46" s="8"/>
      <c r="Y46" s="8"/>
      <c r="Z46" s="8"/>
    </row>
    <row r="47" ht="13.5" customHeight="1">
      <c r="A47" s="211"/>
      <c r="B47" s="210"/>
      <c r="C47" s="210"/>
      <c r="D47" s="211"/>
      <c r="E47" s="210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8"/>
      <c r="V47" s="8"/>
      <c r="W47" s="8"/>
      <c r="X47" s="8"/>
      <c r="Y47" s="8"/>
      <c r="Z47" s="8"/>
    </row>
    <row r="48" ht="13.5" customHeight="1">
      <c r="A48" s="211"/>
      <c r="B48" s="210"/>
      <c r="C48" s="210"/>
      <c r="D48" s="211"/>
      <c r="E48" s="210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8"/>
      <c r="V48" s="8"/>
      <c r="W48" s="8"/>
      <c r="X48" s="8"/>
      <c r="Y48" s="8"/>
      <c r="Z48" s="8"/>
    </row>
    <row r="49" ht="13.5" customHeight="1">
      <c r="A49" s="211"/>
      <c r="B49" s="210"/>
      <c r="C49" s="210"/>
      <c r="D49" s="211"/>
      <c r="E49" s="210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8"/>
      <c r="V49" s="8"/>
      <c r="W49" s="8"/>
      <c r="X49" s="8"/>
      <c r="Y49" s="8"/>
      <c r="Z49" s="8"/>
    </row>
    <row r="50" ht="13.5" customHeight="1">
      <c r="A50" s="211"/>
      <c r="B50" s="210"/>
      <c r="C50" s="210"/>
      <c r="D50" s="211"/>
      <c r="E50" s="210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8"/>
      <c r="V50" s="8"/>
      <c r="W50" s="8"/>
      <c r="X50" s="8"/>
      <c r="Y50" s="8"/>
      <c r="Z50" s="8"/>
    </row>
    <row r="51" ht="13.5" customHeight="1">
      <c r="A51" s="211"/>
      <c r="B51" s="210"/>
      <c r="C51" s="210"/>
      <c r="D51" s="211"/>
      <c r="E51" s="210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8"/>
      <c r="V51" s="8"/>
      <c r="W51" s="8"/>
      <c r="X51" s="8"/>
      <c r="Y51" s="8"/>
      <c r="Z51" s="8"/>
    </row>
    <row r="52" ht="13.5" customHeight="1">
      <c r="A52" s="211"/>
      <c r="B52" s="210"/>
      <c r="C52" s="210"/>
      <c r="D52" s="211"/>
      <c r="E52" s="210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8"/>
      <c r="V52" s="8"/>
      <c r="W52" s="8"/>
      <c r="X52" s="8"/>
      <c r="Y52" s="8"/>
      <c r="Z52" s="8"/>
    </row>
    <row r="53" ht="13.5" customHeight="1">
      <c r="A53" s="211"/>
      <c r="B53" s="210"/>
      <c r="C53" s="210"/>
      <c r="D53" s="211"/>
      <c r="E53" s="210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8"/>
      <c r="V53" s="8"/>
      <c r="W53" s="8"/>
      <c r="X53" s="8"/>
      <c r="Y53" s="8"/>
      <c r="Z53" s="8"/>
    </row>
    <row r="54" ht="13.5" customHeight="1">
      <c r="A54" s="211"/>
      <c r="B54" s="210"/>
      <c r="C54" s="210"/>
      <c r="D54" s="211"/>
      <c r="E54" s="210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8"/>
      <c r="V54" s="8"/>
      <c r="W54" s="8"/>
      <c r="X54" s="8"/>
      <c r="Y54" s="8"/>
      <c r="Z54" s="8"/>
    </row>
    <row r="55" ht="13.5" customHeight="1">
      <c r="A55" s="211"/>
      <c r="B55" s="210"/>
      <c r="C55" s="210"/>
      <c r="D55" s="211"/>
      <c r="E55" s="210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8"/>
      <c r="V55" s="8"/>
      <c r="W55" s="8"/>
      <c r="X55" s="8"/>
      <c r="Y55" s="8"/>
      <c r="Z55" s="8"/>
    </row>
    <row r="56" ht="13.5" customHeight="1">
      <c r="A56" s="211"/>
      <c r="B56" s="210"/>
      <c r="C56" s="210"/>
      <c r="D56" s="211"/>
      <c r="E56" s="210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8"/>
      <c r="V56" s="8"/>
      <c r="W56" s="8"/>
      <c r="X56" s="8"/>
      <c r="Y56" s="8"/>
      <c r="Z56" s="8"/>
    </row>
    <row r="57" ht="13.5" customHeight="1">
      <c r="A57" s="211"/>
      <c r="B57" s="210"/>
      <c r="C57" s="210"/>
      <c r="D57" s="211"/>
      <c r="E57" s="210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8"/>
      <c r="V57" s="8"/>
      <c r="W57" s="8"/>
      <c r="X57" s="8"/>
      <c r="Y57" s="8"/>
      <c r="Z57" s="8"/>
    </row>
    <row r="58" ht="13.5" customHeight="1">
      <c r="A58" s="211"/>
      <c r="B58" s="210"/>
      <c r="C58" s="210"/>
      <c r="D58" s="211"/>
      <c r="E58" s="210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8"/>
      <c r="V58" s="8"/>
      <c r="W58" s="8"/>
      <c r="X58" s="8"/>
      <c r="Y58" s="8"/>
      <c r="Z58" s="8"/>
    </row>
    <row r="59" ht="13.5" customHeight="1">
      <c r="A59" s="211"/>
      <c r="B59" s="210"/>
      <c r="C59" s="210"/>
      <c r="D59" s="211"/>
      <c r="E59" s="210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8"/>
      <c r="V59" s="8"/>
      <c r="W59" s="8"/>
      <c r="X59" s="8"/>
      <c r="Y59" s="8"/>
      <c r="Z59" s="8"/>
    </row>
    <row r="60" ht="13.5" customHeight="1">
      <c r="A60" s="211"/>
      <c r="B60" s="210"/>
      <c r="C60" s="210"/>
      <c r="D60" s="211"/>
      <c r="E60" s="210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8"/>
      <c r="V60" s="8"/>
      <c r="W60" s="8"/>
      <c r="X60" s="8"/>
      <c r="Y60" s="8"/>
      <c r="Z60" s="8"/>
    </row>
    <row r="61" ht="13.5" customHeight="1">
      <c r="A61" s="211"/>
      <c r="B61" s="210"/>
      <c r="C61" s="210"/>
      <c r="D61" s="211"/>
      <c r="E61" s="210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8"/>
      <c r="V61" s="8"/>
      <c r="W61" s="8"/>
      <c r="X61" s="8"/>
      <c r="Y61" s="8"/>
      <c r="Z61" s="8"/>
    </row>
    <row r="62" ht="13.5" customHeight="1">
      <c r="A62" s="211"/>
      <c r="B62" s="210"/>
      <c r="C62" s="210"/>
      <c r="D62" s="211"/>
      <c r="E62" s="210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8"/>
      <c r="V62" s="8"/>
      <c r="W62" s="8"/>
      <c r="X62" s="8"/>
      <c r="Y62" s="8"/>
      <c r="Z62" s="8"/>
    </row>
    <row r="63" ht="13.5" customHeight="1">
      <c r="A63" s="211"/>
      <c r="B63" s="210"/>
      <c r="C63" s="210"/>
      <c r="D63" s="211"/>
      <c r="E63" s="210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8"/>
      <c r="V63" s="8"/>
      <c r="W63" s="8"/>
      <c r="X63" s="8"/>
      <c r="Y63" s="8"/>
      <c r="Z63" s="8"/>
    </row>
    <row r="64" ht="13.5" customHeight="1">
      <c r="A64" s="211"/>
      <c r="B64" s="210"/>
      <c r="C64" s="210"/>
      <c r="D64" s="211"/>
      <c r="E64" s="210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8"/>
      <c r="V64" s="8"/>
      <c r="W64" s="8"/>
      <c r="X64" s="8"/>
      <c r="Y64" s="8"/>
      <c r="Z64" s="8"/>
    </row>
    <row r="65" ht="13.5" customHeight="1">
      <c r="A65" s="211"/>
      <c r="B65" s="210"/>
      <c r="C65" s="210"/>
      <c r="D65" s="211"/>
      <c r="E65" s="210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8"/>
      <c r="V65" s="8"/>
      <c r="W65" s="8"/>
      <c r="X65" s="8"/>
      <c r="Y65" s="8"/>
      <c r="Z65" s="8"/>
    </row>
    <row r="66" ht="13.5" customHeight="1">
      <c r="A66" s="211"/>
      <c r="B66" s="210"/>
      <c r="C66" s="210"/>
      <c r="D66" s="211"/>
      <c r="E66" s="210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8"/>
      <c r="V66" s="8"/>
      <c r="W66" s="8"/>
      <c r="X66" s="8"/>
      <c r="Y66" s="8"/>
      <c r="Z66" s="8"/>
    </row>
    <row r="67" ht="13.5" customHeight="1">
      <c r="A67" s="211"/>
      <c r="B67" s="210"/>
      <c r="C67" s="210"/>
      <c r="D67" s="211"/>
      <c r="E67" s="210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8"/>
      <c r="V67" s="8"/>
      <c r="W67" s="8"/>
      <c r="X67" s="8"/>
      <c r="Y67" s="8"/>
      <c r="Z67" s="8"/>
    </row>
    <row r="68" ht="13.5" customHeight="1">
      <c r="A68" s="211"/>
      <c r="B68" s="210"/>
      <c r="C68" s="210"/>
      <c r="D68" s="211"/>
      <c r="E68" s="210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8"/>
      <c r="V68" s="8"/>
      <c r="W68" s="8"/>
      <c r="X68" s="8"/>
      <c r="Y68" s="8"/>
      <c r="Z68" s="8"/>
    </row>
    <row r="69" ht="13.5" customHeight="1">
      <c r="A69" s="211"/>
      <c r="B69" s="210"/>
      <c r="C69" s="210"/>
      <c r="D69" s="211"/>
      <c r="E69" s="210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8"/>
      <c r="V69" s="8"/>
      <c r="W69" s="8"/>
      <c r="X69" s="8"/>
      <c r="Y69" s="8"/>
      <c r="Z69" s="8"/>
    </row>
    <row r="70" ht="13.5" customHeight="1">
      <c r="A70" s="211"/>
      <c r="B70" s="210"/>
      <c r="C70" s="210"/>
      <c r="D70" s="211"/>
      <c r="E70" s="210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8"/>
      <c r="V70" s="8"/>
      <c r="W70" s="8"/>
      <c r="X70" s="8"/>
      <c r="Y70" s="8"/>
      <c r="Z70" s="8"/>
    </row>
    <row r="71" ht="13.5" customHeight="1">
      <c r="A71" s="211"/>
      <c r="B71" s="210"/>
      <c r="C71" s="210"/>
      <c r="D71" s="211"/>
      <c r="E71" s="210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8"/>
      <c r="V71" s="8"/>
      <c r="W71" s="8"/>
      <c r="X71" s="8"/>
      <c r="Y71" s="8"/>
      <c r="Z71" s="8"/>
    </row>
    <row r="72" ht="13.5" customHeight="1">
      <c r="A72" s="211"/>
      <c r="B72" s="210"/>
      <c r="C72" s="210"/>
      <c r="D72" s="211"/>
      <c r="E72" s="210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8"/>
      <c r="V72" s="8"/>
      <c r="W72" s="8"/>
      <c r="X72" s="8"/>
      <c r="Y72" s="8"/>
      <c r="Z72" s="8"/>
    </row>
    <row r="73" ht="13.5" customHeight="1">
      <c r="A73" s="211"/>
      <c r="B73" s="210"/>
      <c r="C73" s="210"/>
      <c r="D73" s="211"/>
      <c r="E73" s="210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8"/>
      <c r="V73" s="8"/>
      <c r="W73" s="8"/>
      <c r="X73" s="8"/>
      <c r="Y73" s="8"/>
      <c r="Z73" s="8"/>
    </row>
    <row r="74" ht="13.5" customHeight="1">
      <c r="A74" s="211"/>
      <c r="B74" s="210"/>
      <c r="C74" s="210"/>
      <c r="D74" s="211"/>
      <c r="E74" s="210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8"/>
      <c r="V74" s="8"/>
      <c r="W74" s="8"/>
      <c r="X74" s="8"/>
      <c r="Y74" s="8"/>
      <c r="Z74" s="8"/>
    </row>
    <row r="75" ht="13.5" customHeight="1">
      <c r="A75" s="211"/>
      <c r="B75" s="210"/>
      <c r="C75" s="210"/>
      <c r="D75" s="211"/>
      <c r="E75" s="210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8"/>
      <c r="V75" s="8"/>
      <c r="W75" s="8"/>
      <c r="X75" s="8"/>
      <c r="Y75" s="8"/>
      <c r="Z75" s="8"/>
    </row>
    <row r="76" ht="13.5" customHeight="1">
      <c r="A76" s="211"/>
      <c r="B76" s="210"/>
      <c r="C76" s="210"/>
      <c r="D76" s="211"/>
      <c r="E76" s="210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8"/>
      <c r="V76" s="8"/>
      <c r="W76" s="8"/>
      <c r="X76" s="8"/>
      <c r="Y76" s="8"/>
      <c r="Z76" s="8"/>
    </row>
    <row r="77" ht="13.5" customHeight="1">
      <c r="A77" s="211"/>
      <c r="B77" s="210"/>
      <c r="C77" s="210"/>
      <c r="D77" s="211"/>
      <c r="E77" s="210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8"/>
      <c r="V77" s="8"/>
      <c r="W77" s="8"/>
      <c r="X77" s="8"/>
      <c r="Y77" s="8"/>
      <c r="Z77" s="8"/>
    </row>
    <row r="78" ht="13.5" customHeight="1">
      <c r="A78" s="211"/>
      <c r="B78" s="210"/>
      <c r="C78" s="210"/>
      <c r="D78" s="211"/>
      <c r="E78" s="210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8"/>
      <c r="V78" s="8"/>
      <c r="W78" s="8"/>
      <c r="X78" s="8"/>
      <c r="Y78" s="8"/>
      <c r="Z78" s="8"/>
    </row>
    <row r="79" ht="13.5" customHeight="1">
      <c r="A79" s="211"/>
      <c r="B79" s="210"/>
      <c r="C79" s="210"/>
      <c r="D79" s="211"/>
      <c r="E79" s="210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8"/>
      <c r="V79" s="8"/>
      <c r="W79" s="8"/>
      <c r="X79" s="8"/>
      <c r="Y79" s="8"/>
      <c r="Z79" s="8"/>
    </row>
    <row r="80" ht="13.5" customHeight="1">
      <c r="A80" s="211"/>
      <c r="B80" s="210"/>
      <c r="C80" s="210"/>
      <c r="D80" s="211"/>
      <c r="E80" s="210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8"/>
      <c r="V80" s="8"/>
      <c r="W80" s="8"/>
      <c r="X80" s="8"/>
      <c r="Y80" s="8"/>
      <c r="Z80" s="8"/>
    </row>
    <row r="81" ht="13.5" customHeight="1">
      <c r="A81" s="211"/>
      <c r="B81" s="210"/>
      <c r="C81" s="210"/>
      <c r="D81" s="211"/>
      <c r="E81" s="210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8"/>
      <c r="V81" s="8"/>
      <c r="W81" s="8"/>
      <c r="X81" s="8"/>
      <c r="Y81" s="8"/>
      <c r="Z81" s="8"/>
    </row>
    <row r="82" ht="13.5" customHeight="1">
      <c r="A82" s="211"/>
      <c r="B82" s="210"/>
      <c r="C82" s="210"/>
      <c r="D82" s="211"/>
      <c r="E82" s="210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8"/>
      <c r="V82" s="8"/>
      <c r="W82" s="8"/>
      <c r="X82" s="8"/>
      <c r="Y82" s="8"/>
      <c r="Z82" s="8"/>
    </row>
    <row r="83" ht="13.5" customHeight="1">
      <c r="A83" s="211"/>
      <c r="B83" s="210"/>
      <c r="C83" s="210"/>
      <c r="D83" s="211"/>
      <c r="E83" s="210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8"/>
      <c r="V83" s="8"/>
      <c r="W83" s="8"/>
      <c r="X83" s="8"/>
      <c r="Y83" s="8"/>
      <c r="Z83" s="8"/>
    </row>
    <row r="84" ht="13.5" customHeight="1">
      <c r="A84" s="211"/>
      <c r="B84" s="210"/>
      <c r="C84" s="210"/>
      <c r="D84" s="211"/>
      <c r="E84" s="210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8"/>
      <c r="V84" s="8"/>
      <c r="W84" s="8"/>
      <c r="X84" s="8"/>
      <c r="Y84" s="8"/>
      <c r="Z84" s="8"/>
    </row>
    <row r="85" ht="13.5" customHeight="1">
      <c r="A85" s="211"/>
      <c r="B85" s="210"/>
      <c r="C85" s="210"/>
      <c r="D85" s="211"/>
      <c r="E85" s="210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8"/>
      <c r="V85" s="8"/>
      <c r="W85" s="8"/>
      <c r="X85" s="8"/>
      <c r="Y85" s="8"/>
      <c r="Z85" s="8"/>
    </row>
    <row r="86" ht="13.5" customHeight="1">
      <c r="A86" s="211"/>
      <c r="B86" s="210"/>
      <c r="C86" s="210"/>
      <c r="D86" s="211"/>
      <c r="E86" s="210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8"/>
      <c r="V86" s="8"/>
      <c r="W86" s="8"/>
      <c r="X86" s="8"/>
      <c r="Y86" s="8"/>
      <c r="Z86" s="8"/>
    </row>
    <row r="87" ht="13.5" customHeight="1">
      <c r="A87" s="211"/>
      <c r="B87" s="210"/>
      <c r="C87" s="210"/>
      <c r="D87" s="211"/>
      <c r="E87" s="210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8"/>
      <c r="V87" s="8"/>
      <c r="W87" s="8"/>
      <c r="X87" s="8"/>
      <c r="Y87" s="8"/>
      <c r="Z87" s="8"/>
    </row>
    <row r="88" ht="13.5" customHeight="1">
      <c r="A88" s="211"/>
      <c r="B88" s="210"/>
      <c r="C88" s="210"/>
      <c r="D88" s="211"/>
      <c r="E88" s="210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8"/>
      <c r="V88" s="8"/>
      <c r="W88" s="8"/>
      <c r="X88" s="8"/>
      <c r="Y88" s="8"/>
      <c r="Z88" s="8"/>
    </row>
    <row r="89" ht="13.5" customHeight="1">
      <c r="A89" s="211"/>
      <c r="B89" s="210"/>
      <c r="C89" s="210"/>
      <c r="D89" s="211"/>
      <c r="E89" s="210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8"/>
      <c r="V89" s="8"/>
      <c r="W89" s="8"/>
      <c r="X89" s="8"/>
      <c r="Y89" s="8"/>
      <c r="Z89" s="8"/>
    </row>
    <row r="90" ht="13.5" customHeight="1">
      <c r="A90" s="211"/>
      <c r="B90" s="210"/>
      <c r="C90" s="210"/>
      <c r="D90" s="211"/>
      <c r="E90" s="210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8"/>
      <c r="V90" s="8"/>
      <c r="W90" s="8"/>
      <c r="X90" s="8"/>
      <c r="Y90" s="8"/>
      <c r="Z90" s="8"/>
    </row>
    <row r="91" ht="13.5" customHeight="1">
      <c r="A91" s="211"/>
      <c r="B91" s="210"/>
      <c r="C91" s="210"/>
      <c r="D91" s="211"/>
      <c r="E91" s="210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8"/>
      <c r="V91" s="8"/>
      <c r="W91" s="8"/>
      <c r="X91" s="8"/>
      <c r="Y91" s="8"/>
      <c r="Z91" s="8"/>
    </row>
    <row r="92" ht="13.5" customHeight="1">
      <c r="A92" s="211"/>
      <c r="B92" s="210"/>
      <c r="C92" s="210"/>
      <c r="D92" s="211"/>
      <c r="E92" s="210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8"/>
      <c r="V92" s="8"/>
      <c r="W92" s="8"/>
      <c r="X92" s="8"/>
      <c r="Y92" s="8"/>
      <c r="Z92" s="8"/>
    </row>
    <row r="93" ht="13.5" customHeight="1">
      <c r="A93" s="211"/>
      <c r="B93" s="210"/>
      <c r="C93" s="210"/>
      <c r="D93" s="211"/>
      <c r="E93" s="210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8"/>
      <c r="V93" s="8"/>
      <c r="W93" s="8"/>
      <c r="X93" s="8"/>
      <c r="Y93" s="8"/>
      <c r="Z93" s="8"/>
    </row>
    <row r="94" ht="13.5" customHeight="1">
      <c r="A94" s="211"/>
      <c r="B94" s="210"/>
      <c r="C94" s="210"/>
      <c r="D94" s="211"/>
      <c r="E94" s="210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8"/>
      <c r="V94" s="8"/>
      <c r="W94" s="8"/>
      <c r="X94" s="8"/>
      <c r="Y94" s="8"/>
      <c r="Z94" s="8"/>
    </row>
    <row r="95" ht="13.5" customHeight="1">
      <c r="A95" s="211"/>
      <c r="B95" s="210"/>
      <c r="C95" s="210"/>
      <c r="D95" s="211"/>
      <c r="E95" s="210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8"/>
      <c r="V95" s="8"/>
      <c r="W95" s="8"/>
      <c r="X95" s="8"/>
      <c r="Y95" s="8"/>
      <c r="Z95" s="8"/>
    </row>
    <row r="96" ht="13.5" customHeight="1">
      <c r="A96" s="211"/>
      <c r="B96" s="210"/>
      <c r="C96" s="210"/>
      <c r="D96" s="211"/>
      <c r="E96" s="210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8"/>
      <c r="V96" s="8"/>
      <c r="W96" s="8"/>
      <c r="X96" s="8"/>
      <c r="Y96" s="8"/>
      <c r="Z96" s="8"/>
    </row>
    <row r="97" ht="13.5" customHeight="1">
      <c r="A97" s="211"/>
      <c r="B97" s="210"/>
      <c r="C97" s="210"/>
      <c r="D97" s="211"/>
      <c r="E97" s="210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8"/>
      <c r="V97" s="8"/>
      <c r="W97" s="8"/>
      <c r="X97" s="8"/>
      <c r="Y97" s="8"/>
      <c r="Z97" s="8"/>
    </row>
    <row r="98" ht="13.5" customHeight="1">
      <c r="A98" s="211"/>
      <c r="B98" s="210"/>
      <c r="C98" s="210"/>
      <c r="D98" s="211"/>
      <c r="E98" s="210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8"/>
      <c r="V98" s="8"/>
      <c r="W98" s="8"/>
      <c r="X98" s="8"/>
      <c r="Y98" s="8"/>
      <c r="Z98" s="8"/>
    </row>
    <row r="99" ht="13.5" customHeight="1">
      <c r="A99" s="211"/>
      <c r="B99" s="210"/>
      <c r="C99" s="210"/>
      <c r="D99" s="211"/>
      <c r="E99" s="210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8"/>
      <c r="V99" s="8"/>
      <c r="W99" s="8"/>
      <c r="X99" s="8"/>
      <c r="Y99" s="8"/>
      <c r="Z99" s="8"/>
    </row>
    <row r="100" ht="13.5" customHeight="1">
      <c r="A100" s="211"/>
      <c r="B100" s="210"/>
      <c r="C100" s="210"/>
      <c r="D100" s="211"/>
      <c r="E100" s="210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8"/>
      <c r="V100" s="8"/>
      <c r="W100" s="8"/>
      <c r="X100" s="8"/>
      <c r="Y100" s="8"/>
      <c r="Z100" s="8"/>
    </row>
    <row r="101" ht="13.5" customHeight="1">
      <c r="A101" s="211"/>
      <c r="B101" s="210"/>
      <c r="C101" s="210"/>
      <c r="D101" s="211"/>
      <c r="E101" s="210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8"/>
      <c r="V101" s="8"/>
      <c r="W101" s="8"/>
      <c r="X101" s="8"/>
      <c r="Y101" s="8"/>
      <c r="Z101" s="8"/>
    </row>
    <row r="102" ht="13.5" customHeight="1">
      <c r="A102" s="211"/>
      <c r="B102" s="210"/>
      <c r="C102" s="210"/>
      <c r="D102" s="211"/>
      <c r="E102" s="210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8"/>
      <c r="V102" s="8"/>
      <c r="W102" s="8"/>
      <c r="X102" s="8"/>
      <c r="Y102" s="8"/>
      <c r="Z102" s="8"/>
    </row>
    <row r="103" ht="13.5" customHeight="1">
      <c r="A103" s="211"/>
      <c r="B103" s="210"/>
      <c r="C103" s="210"/>
      <c r="D103" s="211"/>
      <c r="E103" s="210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8"/>
      <c r="V103" s="8"/>
      <c r="W103" s="8"/>
      <c r="X103" s="8"/>
      <c r="Y103" s="8"/>
      <c r="Z103" s="8"/>
    </row>
    <row r="104" ht="13.5" customHeight="1">
      <c r="A104" s="211"/>
      <c r="B104" s="210"/>
      <c r="C104" s="210"/>
      <c r="D104" s="211"/>
      <c r="E104" s="210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8"/>
      <c r="V104" s="8"/>
      <c r="W104" s="8"/>
      <c r="X104" s="8"/>
      <c r="Y104" s="8"/>
      <c r="Z104" s="8"/>
    </row>
    <row r="105" ht="13.5" customHeight="1">
      <c r="A105" s="211"/>
      <c r="B105" s="210"/>
      <c r="C105" s="210"/>
      <c r="D105" s="211"/>
      <c r="E105" s="210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8"/>
      <c r="V105" s="8"/>
      <c r="W105" s="8"/>
      <c r="X105" s="8"/>
      <c r="Y105" s="8"/>
      <c r="Z105" s="8"/>
    </row>
    <row r="106" ht="13.5" customHeight="1">
      <c r="A106" s="211"/>
      <c r="B106" s="210"/>
      <c r="C106" s="210"/>
      <c r="D106" s="211"/>
      <c r="E106" s="210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8"/>
      <c r="V106" s="8"/>
      <c r="W106" s="8"/>
      <c r="X106" s="8"/>
      <c r="Y106" s="8"/>
      <c r="Z106" s="8"/>
    </row>
    <row r="107" ht="13.5" customHeight="1">
      <c r="A107" s="211"/>
      <c r="B107" s="210"/>
      <c r="C107" s="210"/>
      <c r="D107" s="211"/>
      <c r="E107" s="210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8"/>
      <c r="V107" s="8"/>
      <c r="W107" s="8"/>
      <c r="X107" s="8"/>
      <c r="Y107" s="8"/>
      <c r="Z107" s="8"/>
    </row>
    <row r="108" ht="13.5" customHeight="1">
      <c r="A108" s="211"/>
      <c r="B108" s="210"/>
      <c r="C108" s="210"/>
      <c r="D108" s="211"/>
      <c r="E108" s="210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8"/>
      <c r="V108" s="8"/>
      <c r="W108" s="8"/>
      <c r="X108" s="8"/>
      <c r="Y108" s="8"/>
      <c r="Z108" s="8"/>
    </row>
    <row r="109" ht="13.5" customHeight="1">
      <c r="A109" s="211"/>
      <c r="B109" s="210"/>
      <c r="C109" s="210"/>
      <c r="D109" s="211"/>
      <c r="E109" s="210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8"/>
      <c r="V109" s="8"/>
      <c r="W109" s="8"/>
      <c r="X109" s="8"/>
      <c r="Y109" s="8"/>
      <c r="Z109" s="8"/>
    </row>
    <row r="110" ht="13.5" customHeight="1">
      <c r="A110" s="211"/>
      <c r="B110" s="210"/>
      <c r="C110" s="210"/>
      <c r="D110" s="211"/>
      <c r="E110" s="210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8"/>
      <c r="V110" s="8"/>
      <c r="W110" s="8"/>
      <c r="X110" s="8"/>
      <c r="Y110" s="8"/>
      <c r="Z110" s="8"/>
    </row>
    <row r="111" ht="13.5" customHeight="1">
      <c r="A111" s="211"/>
      <c r="B111" s="210"/>
      <c r="C111" s="210"/>
      <c r="D111" s="211"/>
      <c r="E111" s="210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8"/>
      <c r="V111" s="8"/>
      <c r="W111" s="8"/>
      <c r="X111" s="8"/>
      <c r="Y111" s="8"/>
      <c r="Z111" s="8"/>
    </row>
    <row r="112" ht="13.5" customHeight="1">
      <c r="A112" s="211"/>
      <c r="B112" s="210"/>
      <c r="C112" s="210"/>
      <c r="D112" s="211"/>
      <c r="E112" s="210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8"/>
      <c r="V112" s="8"/>
      <c r="W112" s="8"/>
      <c r="X112" s="8"/>
      <c r="Y112" s="8"/>
      <c r="Z112" s="8"/>
    </row>
    <row r="113" ht="13.5" customHeight="1">
      <c r="A113" s="211"/>
      <c r="B113" s="210"/>
      <c r="C113" s="210"/>
      <c r="D113" s="211"/>
      <c r="E113" s="210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8"/>
      <c r="V113" s="8"/>
      <c r="W113" s="8"/>
      <c r="X113" s="8"/>
      <c r="Y113" s="8"/>
      <c r="Z113" s="8"/>
    </row>
    <row r="114" ht="13.5" customHeight="1">
      <c r="A114" s="211"/>
      <c r="B114" s="210"/>
      <c r="C114" s="210"/>
      <c r="D114" s="211"/>
      <c r="E114" s="210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8"/>
      <c r="V114" s="8"/>
      <c r="W114" s="8"/>
      <c r="X114" s="8"/>
      <c r="Y114" s="8"/>
      <c r="Z114" s="8"/>
    </row>
    <row r="115" ht="13.5" customHeight="1">
      <c r="A115" s="211"/>
      <c r="B115" s="210"/>
      <c r="C115" s="210"/>
      <c r="D115" s="211"/>
      <c r="E115" s="210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8"/>
      <c r="V115" s="8"/>
      <c r="W115" s="8"/>
      <c r="X115" s="8"/>
      <c r="Y115" s="8"/>
      <c r="Z115" s="8"/>
    </row>
    <row r="116" ht="13.5" customHeight="1">
      <c r="A116" s="211"/>
      <c r="B116" s="210"/>
      <c r="C116" s="210"/>
      <c r="D116" s="211"/>
      <c r="E116" s="210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8"/>
      <c r="V116" s="8"/>
      <c r="W116" s="8"/>
      <c r="X116" s="8"/>
      <c r="Y116" s="8"/>
      <c r="Z116" s="8"/>
    </row>
    <row r="117" ht="13.5" customHeight="1">
      <c r="A117" s="211"/>
      <c r="B117" s="210"/>
      <c r="C117" s="210"/>
      <c r="D117" s="211"/>
      <c r="E117" s="210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8"/>
      <c r="V117" s="8"/>
      <c r="W117" s="8"/>
      <c r="X117" s="8"/>
      <c r="Y117" s="8"/>
      <c r="Z117" s="8"/>
    </row>
    <row r="118" ht="13.5" customHeight="1">
      <c r="A118" s="211"/>
      <c r="B118" s="210"/>
      <c r="C118" s="210"/>
      <c r="D118" s="211"/>
      <c r="E118" s="210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8"/>
      <c r="V118" s="8"/>
      <c r="W118" s="8"/>
      <c r="X118" s="8"/>
      <c r="Y118" s="8"/>
      <c r="Z118" s="8"/>
    </row>
    <row r="119" ht="13.5" customHeight="1">
      <c r="A119" s="211"/>
      <c r="B119" s="210"/>
      <c r="C119" s="210"/>
      <c r="D119" s="211"/>
      <c r="E119" s="210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8"/>
      <c r="V119" s="8"/>
      <c r="W119" s="8"/>
      <c r="X119" s="8"/>
      <c r="Y119" s="8"/>
      <c r="Z119" s="8"/>
    </row>
    <row r="120" ht="13.5" customHeight="1">
      <c r="A120" s="211"/>
      <c r="B120" s="210"/>
      <c r="C120" s="210"/>
      <c r="D120" s="211"/>
      <c r="E120" s="210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8"/>
      <c r="V120" s="8"/>
      <c r="W120" s="8"/>
      <c r="X120" s="8"/>
      <c r="Y120" s="8"/>
      <c r="Z120" s="8"/>
    </row>
    <row r="121" ht="13.5" customHeight="1">
      <c r="A121" s="211"/>
      <c r="B121" s="210"/>
      <c r="C121" s="210"/>
      <c r="D121" s="211"/>
      <c r="E121" s="210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8"/>
      <c r="V121" s="8"/>
      <c r="W121" s="8"/>
      <c r="X121" s="8"/>
      <c r="Y121" s="8"/>
      <c r="Z121" s="8"/>
    </row>
    <row r="122" ht="13.5" customHeight="1">
      <c r="A122" s="211"/>
      <c r="B122" s="210"/>
      <c r="C122" s="210"/>
      <c r="D122" s="211"/>
      <c r="E122" s="210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8"/>
      <c r="V122" s="8"/>
      <c r="W122" s="8"/>
      <c r="X122" s="8"/>
      <c r="Y122" s="8"/>
      <c r="Z122" s="8"/>
    </row>
    <row r="123" ht="13.5" customHeight="1">
      <c r="A123" s="211"/>
      <c r="B123" s="210"/>
      <c r="C123" s="210"/>
      <c r="D123" s="211"/>
      <c r="E123" s="210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8"/>
      <c r="V123" s="8"/>
      <c r="W123" s="8"/>
      <c r="X123" s="8"/>
      <c r="Y123" s="8"/>
      <c r="Z123" s="8"/>
    </row>
    <row r="124" ht="13.5" customHeight="1">
      <c r="A124" s="211"/>
      <c r="B124" s="210"/>
      <c r="C124" s="210"/>
      <c r="D124" s="211"/>
      <c r="E124" s="210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8"/>
      <c r="V124" s="8"/>
      <c r="W124" s="8"/>
      <c r="X124" s="8"/>
      <c r="Y124" s="8"/>
      <c r="Z124" s="8"/>
    </row>
    <row r="125" ht="13.5" customHeight="1">
      <c r="A125" s="211"/>
      <c r="B125" s="210"/>
      <c r="C125" s="210"/>
      <c r="D125" s="211"/>
      <c r="E125" s="210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8"/>
      <c r="V125" s="8"/>
      <c r="W125" s="8"/>
      <c r="X125" s="8"/>
      <c r="Y125" s="8"/>
      <c r="Z125" s="8"/>
    </row>
    <row r="126" ht="13.5" customHeight="1">
      <c r="A126" s="211"/>
      <c r="B126" s="210"/>
      <c r="C126" s="210"/>
      <c r="D126" s="211"/>
      <c r="E126" s="210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8"/>
      <c r="V126" s="8"/>
      <c r="W126" s="8"/>
      <c r="X126" s="8"/>
      <c r="Y126" s="8"/>
      <c r="Z126" s="8"/>
    </row>
    <row r="127" ht="13.5" customHeight="1">
      <c r="A127" s="211"/>
      <c r="B127" s="210"/>
      <c r="C127" s="210"/>
      <c r="D127" s="211"/>
      <c r="E127" s="210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8"/>
      <c r="V127" s="8"/>
      <c r="W127" s="8"/>
      <c r="X127" s="8"/>
      <c r="Y127" s="8"/>
      <c r="Z127" s="8"/>
    </row>
    <row r="128" ht="13.5" customHeight="1">
      <c r="A128" s="211"/>
      <c r="B128" s="210"/>
      <c r="C128" s="210"/>
      <c r="D128" s="211"/>
      <c r="E128" s="210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8"/>
      <c r="V128" s="8"/>
      <c r="W128" s="8"/>
      <c r="X128" s="8"/>
      <c r="Y128" s="8"/>
      <c r="Z128" s="8"/>
    </row>
    <row r="129" ht="13.5" customHeight="1">
      <c r="A129" s="211"/>
      <c r="B129" s="210"/>
      <c r="C129" s="210"/>
      <c r="D129" s="211"/>
      <c r="E129" s="210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8"/>
      <c r="V129" s="8"/>
      <c r="W129" s="8"/>
      <c r="X129" s="8"/>
      <c r="Y129" s="8"/>
      <c r="Z129" s="8"/>
    </row>
    <row r="130" ht="13.5" customHeight="1">
      <c r="A130" s="211"/>
      <c r="B130" s="210"/>
      <c r="C130" s="210"/>
      <c r="D130" s="211"/>
      <c r="E130" s="210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8"/>
      <c r="V130" s="8"/>
      <c r="W130" s="8"/>
      <c r="X130" s="8"/>
      <c r="Y130" s="8"/>
      <c r="Z130" s="8"/>
    </row>
    <row r="131" ht="13.5" customHeight="1">
      <c r="A131" s="211"/>
      <c r="B131" s="210"/>
      <c r="C131" s="210"/>
      <c r="D131" s="211"/>
      <c r="E131" s="210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8"/>
      <c r="V131" s="8"/>
      <c r="W131" s="8"/>
      <c r="X131" s="8"/>
      <c r="Y131" s="8"/>
      <c r="Z131" s="8"/>
    </row>
    <row r="132" ht="13.5" customHeight="1">
      <c r="A132" s="211"/>
      <c r="B132" s="210"/>
      <c r="C132" s="210"/>
      <c r="D132" s="211"/>
      <c r="E132" s="210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8"/>
      <c r="V132" s="8"/>
      <c r="W132" s="8"/>
      <c r="X132" s="8"/>
      <c r="Y132" s="8"/>
      <c r="Z132" s="8"/>
    </row>
    <row r="133" ht="13.5" customHeight="1">
      <c r="A133" s="211"/>
      <c r="B133" s="210"/>
      <c r="C133" s="210"/>
      <c r="D133" s="211"/>
      <c r="E133" s="210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8"/>
      <c r="V133" s="8"/>
      <c r="W133" s="8"/>
      <c r="X133" s="8"/>
      <c r="Y133" s="8"/>
      <c r="Z133" s="8"/>
    </row>
    <row r="134" ht="13.5" customHeight="1">
      <c r="A134" s="211"/>
      <c r="B134" s="210"/>
      <c r="C134" s="210"/>
      <c r="D134" s="211"/>
      <c r="E134" s="210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8"/>
      <c r="V134" s="8"/>
      <c r="W134" s="8"/>
      <c r="X134" s="8"/>
      <c r="Y134" s="8"/>
      <c r="Z134" s="8"/>
    </row>
    <row r="135" ht="13.5" customHeight="1">
      <c r="A135" s="211"/>
      <c r="B135" s="210"/>
      <c r="C135" s="210"/>
      <c r="D135" s="211"/>
      <c r="E135" s="210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8"/>
      <c r="V135" s="8"/>
      <c r="W135" s="8"/>
      <c r="X135" s="8"/>
      <c r="Y135" s="8"/>
      <c r="Z135" s="8"/>
    </row>
    <row r="136" ht="13.5" customHeight="1">
      <c r="A136" s="211"/>
      <c r="B136" s="210"/>
      <c r="C136" s="210"/>
      <c r="D136" s="211"/>
      <c r="E136" s="210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8"/>
      <c r="V136" s="8"/>
      <c r="W136" s="8"/>
      <c r="X136" s="8"/>
      <c r="Y136" s="8"/>
      <c r="Z136" s="8"/>
    </row>
    <row r="137" ht="13.5" customHeight="1">
      <c r="A137" s="211"/>
      <c r="B137" s="210"/>
      <c r="C137" s="210"/>
      <c r="D137" s="211"/>
      <c r="E137" s="210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8"/>
      <c r="V137" s="8"/>
      <c r="W137" s="8"/>
      <c r="X137" s="8"/>
      <c r="Y137" s="8"/>
      <c r="Z137" s="8"/>
    </row>
    <row r="138" ht="13.5" customHeight="1">
      <c r="A138" s="211"/>
      <c r="B138" s="210"/>
      <c r="C138" s="210"/>
      <c r="D138" s="211"/>
      <c r="E138" s="210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8"/>
      <c r="V138" s="8"/>
      <c r="W138" s="8"/>
      <c r="X138" s="8"/>
      <c r="Y138" s="8"/>
      <c r="Z138" s="8"/>
    </row>
    <row r="139" ht="13.5" customHeight="1">
      <c r="A139" s="211"/>
      <c r="B139" s="210"/>
      <c r="C139" s="210"/>
      <c r="D139" s="211"/>
      <c r="E139" s="210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8"/>
      <c r="V139" s="8"/>
      <c r="W139" s="8"/>
      <c r="X139" s="8"/>
      <c r="Y139" s="8"/>
      <c r="Z139" s="8"/>
    </row>
    <row r="140" ht="13.5" customHeight="1">
      <c r="A140" s="211"/>
      <c r="B140" s="210"/>
      <c r="C140" s="210"/>
      <c r="D140" s="211"/>
      <c r="E140" s="210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8"/>
      <c r="V140" s="8"/>
      <c r="W140" s="8"/>
      <c r="X140" s="8"/>
      <c r="Y140" s="8"/>
      <c r="Z140" s="8"/>
    </row>
    <row r="141" ht="13.5" customHeight="1">
      <c r="A141" s="211"/>
      <c r="B141" s="210"/>
      <c r="C141" s="210"/>
      <c r="D141" s="211"/>
      <c r="E141" s="210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8"/>
      <c r="V141" s="8"/>
      <c r="W141" s="8"/>
      <c r="X141" s="8"/>
      <c r="Y141" s="8"/>
      <c r="Z141" s="8"/>
    </row>
    <row r="142" ht="13.5" customHeight="1">
      <c r="A142" s="211"/>
      <c r="B142" s="210"/>
      <c r="C142" s="210"/>
      <c r="D142" s="211"/>
      <c r="E142" s="210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8"/>
      <c r="V142" s="8"/>
      <c r="W142" s="8"/>
      <c r="X142" s="8"/>
      <c r="Y142" s="8"/>
      <c r="Z142" s="8"/>
    </row>
    <row r="143" ht="13.5" customHeight="1">
      <c r="A143" s="211"/>
      <c r="B143" s="210"/>
      <c r="C143" s="210"/>
      <c r="D143" s="211"/>
      <c r="E143" s="210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8"/>
      <c r="V143" s="8"/>
      <c r="W143" s="8"/>
      <c r="X143" s="8"/>
      <c r="Y143" s="8"/>
      <c r="Z143" s="8"/>
    </row>
    <row r="144" ht="13.5" customHeight="1">
      <c r="A144" s="211"/>
      <c r="B144" s="210"/>
      <c r="C144" s="210"/>
      <c r="D144" s="211"/>
      <c r="E144" s="210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8"/>
      <c r="V144" s="8"/>
      <c r="W144" s="8"/>
      <c r="X144" s="8"/>
      <c r="Y144" s="8"/>
      <c r="Z144" s="8"/>
    </row>
    <row r="145" ht="13.5" customHeight="1">
      <c r="A145" s="211"/>
      <c r="B145" s="210"/>
      <c r="C145" s="210"/>
      <c r="D145" s="211"/>
      <c r="E145" s="210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8"/>
      <c r="V145" s="8"/>
      <c r="W145" s="8"/>
      <c r="X145" s="8"/>
      <c r="Y145" s="8"/>
      <c r="Z145" s="8"/>
    </row>
    <row r="146" ht="13.5" customHeight="1">
      <c r="A146" s="211"/>
      <c r="B146" s="210"/>
      <c r="C146" s="210"/>
      <c r="D146" s="211"/>
      <c r="E146" s="210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8"/>
      <c r="V146" s="8"/>
      <c r="W146" s="8"/>
      <c r="X146" s="8"/>
      <c r="Y146" s="8"/>
      <c r="Z146" s="8"/>
    </row>
    <row r="147" ht="13.5" customHeight="1">
      <c r="A147" s="211"/>
      <c r="B147" s="210"/>
      <c r="C147" s="210"/>
      <c r="D147" s="211"/>
      <c r="E147" s="210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8"/>
      <c r="V147" s="8"/>
      <c r="W147" s="8"/>
      <c r="X147" s="8"/>
      <c r="Y147" s="8"/>
      <c r="Z147" s="8"/>
    </row>
    <row r="148" ht="13.5" customHeight="1">
      <c r="A148" s="211"/>
      <c r="B148" s="210"/>
      <c r="C148" s="210"/>
      <c r="D148" s="211"/>
      <c r="E148" s="210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8"/>
      <c r="V148" s="8"/>
      <c r="W148" s="8"/>
      <c r="X148" s="8"/>
      <c r="Y148" s="8"/>
      <c r="Z148" s="8"/>
    </row>
    <row r="149" ht="13.5" customHeight="1">
      <c r="A149" s="211"/>
      <c r="B149" s="210"/>
      <c r="C149" s="210"/>
      <c r="D149" s="211"/>
      <c r="E149" s="210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8"/>
      <c r="V149" s="8"/>
      <c r="W149" s="8"/>
      <c r="X149" s="8"/>
      <c r="Y149" s="8"/>
      <c r="Z149" s="8"/>
    </row>
    <row r="150" ht="13.5" customHeight="1">
      <c r="A150" s="211"/>
      <c r="B150" s="210"/>
      <c r="C150" s="210"/>
      <c r="D150" s="211"/>
      <c r="E150" s="210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8"/>
      <c r="V150" s="8"/>
      <c r="W150" s="8"/>
      <c r="X150" s="8"/>
      <c r="Y150" s="8"/>
      <c r="Z150" s="8"/>
    </row>
    <row r="151" ht="13.5" customHeight="1">
      <c r="A151" s="211"/>
      <c r="B151" s="210"/>
      <c r="C151" s="210"/>
      <c r="D151" s="211"/>
      <c r="E151" s="210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8"/>
      <c r="V151" s="8"/>
      <c r="W151" s="8"/>
      <c r="X151" s="8"/>
      <c r="Y151" s="8"/>
      <c r="Z151" s="8"/>
    </row>
    <row r="152" ht="13.5" customHeight="1">
      <c r="A152" s="211"/>
      <c r="B152" s="210"/>
      <c r="C152" s="210"/>
      <c r="D152" s="211"/>
      <c r="E152" s="210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8"/>
      <c r="V152" s="8"/>
      <c r="W152" s="8"/>
      <c r="X152" s="8"/>
      <c r="Y152" s="8"/>
      <c r="Z152" s="8"/>
    </row>
    <row r="153" ht="13.5" customHeight="1">
      <c r="A153" s="211"/>
      <c r="B153" s="210"/>
      <c r="C153" s="210"/>
      <c r="D153" s="211"/>
      <c r="E153" s="210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8"/>
      <c r="V153" s="8"/>
      <c r="W153" s="8"/>
      <c r="X153" s="8"/>
      <c r="Y153" s="8"/>
      <c r="Z153" s="8"/>
    </row>
    <row r="154" ht="13.5" customHeight="1">
      <c r="A154" s="211"/>
      <c r="B154" s="210"/>
      <c r="C154" s="210"/>
      <c r="D154" s="211"/>
      <c r="E154" s="210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8"/>
      <c r="V154" s="8"/>
      <c r="W154" s="8"/>
      <c r="X154" s="8"/>
      <c r="Y154" s="8"/>
      <c r="Z154" s="8"/>
    </row>
    <row r="155" ht="13.5" customHeight="1">
      <c r="A155" s="211"/>
      <c r="B155" s="210"/>
      <c r="C155" s="210"/>
      <c r="D155" s="211"/>
      <c r="E155" s="210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8"/>
      <c r="V155" s="8"/>
      <c r="W155" s="8"/>
      <c r="X155" s="8"/>
      <c r="Y155" s="8"/>
      <c r="Z155" s="8"/>
    </row>
    <row r="156" ht="13.5" customHeight="1">
      <c r="A156" s="211"/>
      <c r="B156" s="210"/>
      <c r="C156" s="210"/>
      <c r="D156" s="211"/>
      <c r="E156" s="210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8"/>
      <c r="V156" s="8"/>
      <c r="W156" s="8"/>
      <c r="X156" s="8"/>
      <c r="Y156" s="8"/>
      <c r="Z156" s="8"/>
    </row>
    <row r="157" ht="13.5" customHeight="1">
      <c r="A157" s="211"/>
      <c r="B157" s="210"/>
      <c r="C157" s="210"/>
      <c r="D157" s="211"/>
      <c r="E157" s="210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8"/>
      <c r="V157" s="8"/>
      <c r="W157" s="8"/>
      <c r="X157" s="8"/>
      <c r="Y157" s="8"/>
      <c r="Z157" s="8"/>
    </row>
    <row r="158" ht="13.5" customHeight="1">
      <c r="A158" s="211"/>
      <c r="B158" s="210"/>
      <c r="C158" s="210"/>
      <c r="D158" s="211"/>
      <c r="E158" s="210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8"/>
      <c r="V158" s="8"/>
      <c r="W158" s="8"/>
      <c r="X158" s="8"/>
      <c r="Y158" s="8"/>
      <c r="Z158" s="8"/>
    </row>
    <row r="159" ht="13.5" customHeight="1">
      <c r="A159" s="211"/>
      <c r="B159" s="210"/>
      <c r="C159" s="210"/>
      <c r="D159" s="211"/>
      <c r="E159" s="210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8"/>
      <c r="V159" s="8"/>
      <c r="W159" s="8"/>
      <c r="X159" s="8"/>
      <c r="Y159" s="8"/>
      <c r="Z159" s="8"/>
    </row>
    <row r="160" ht="13.5" customHeight="1">
      <c r="A160" s="211"/>
      <c r="B160" s="210"/>
      <c r="C160" s="210"/>
      <c r="D160" s="211"/>
      <c r="E160" s="210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8"/>
      <c r="V160" s="8"/>
      <c r="W160" s="8"/>
      <c r="X160" s="8"/>
      <c r="Y160" s="8"/>
      <c r="Z160" s="8"/>
    </row>
    <row r="161" ht="13.5" customHeight="1">
      <c r="A161" s="211"/>
      <c r="B161" s="210"/>
      <c r="C161" s="210"/>
      <c r="D161" s="211"/>
      <c r="E161" s="210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8"/>
      <c r="V161" s="8"/>
      <c r="W161" s="8"/>
      <c r="X161" s="8"/>
      <c r="Y161" s="8"/>
      <c r="Z161" s="8"/>
    </row>
    <row r="162" ht="13.5" customHeight="1">
      <c r="A162" s="211"/>
      <c r="B162" s="210"/>
      <c r="C162" s="210"/>
      <c r="D162" s="211"/>
      <c r="E162" s="210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8"/>
      <c r="V162" s="8"/>
      <c r="W162" s="8"/>
      <c r="X162" s="8"/>
      <c r="Y162" s="8"/>
      <c r="Z162" s="8"/>
    </row>
    <row r="163" ht="13.5" customHeight="1">
      <c r="A163" s="211"/>
      <c r="B163" s="210"/>
      <c r="C163" s="210"/>
      <c r="D163" s="211"/>
      <c r="E163" s="210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8"/>
      <c r="V163" s="8"/>
      <c r="W163" s="8"/>
      <c r="X163" s="8"/>
      <c r="Y163" s="8"/>
      <c r="Z163" s="8"/>
    </row>
    <row r="164" ht="13.5" customHeight="1">
      <c r="A164" s="211"/>
      <c r="B164" s="210"/>
      <c r="C164" s="210"/>
      <c r="D164" s="211"/>
      <c r="E164" s="210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8"/>
      <c r="V164" s="8"/>
      <c r="W164" s="8"/>
      <c r="X164" s="8"/>
      <c r="Y164" s="8"/>
      <c r="Z164" s="8"/>
    </row>
    <row r="165" ht="13.5" customHeight="1">
      <c r="A165" s="211"/>
      <c r="B165" s="210"/>
      <c r="C165" s="210"/>
      <c r="D165" s="211"/>
      <c r="E165" s="210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8"/>
      <c r="V165" s="8"/>
      <c r="W165" s="8"/>
      <c r="X165" s="8"/>
      <c r="Y165" s="8"/>
      <c r="Z165" s="8"/>
    </row>
    <row r="166" ht="13.5" customHeight="1">
      <c r="A166" s="211"/>
      <c r="B166" s="210"/>
      <c r="C166" s="210"/>
      <c r="D166" s="211"/>
      <c r="E166" s="210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8"/>
      <c r="V166" s="8"/>
      <c r="W166" s="8"/>
      <c r="X166" s="8"/>
      <c r="Y166" s="8"/>
      <c r="Z166" s="8"/>
    </row>
    <row r="167" ht="13.5" customHeight="1">
      <c r="A167" s="211"/>
      <c r="B167" s="210"/>
      <c r="C167" s="210"/>
      <c r="D167" s="211"/>
      <c r="E167" s="210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8"/>
      <c r="V167" s="8"/>
      <c r="W167" s="8"/>
      <c r="X167" s="8"/>
      <c r="Y167" s="8"/>
      <c r="Z167" s="8"/>
    </row>
    <row r="168" ht="13.5" customHeight="1">
      <c r="A168" s="211"/>
      <c r="B168" s="210"/>
      <c r="C168" s="210"/>
      <c r="D168" s="211"/>
      <c r="E168" s="210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8"/>
      <c r="V168" s="8"/>
      <c r="W168" s="8"/>
      <c r="X168" s="8"/>
      <c r="Y168" s="8"/>
      <c r="Z168" s="8"/>
    </row>
    <row r="169" ht="13.5" customHeight="1">
      <c r="A169" s="211"/>
      <c r="B169" s="210"/>
      <c r="C169" s="210"/>
      <c r="D169" s="211"/>
      <c r="E169" s="210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8"/>
      <c r="V169" s="8"/>
      <c r="W169" s="8"/>
      <c r="X169" s="8"/>
      <c r="Y169" s="8"/>
      <c r="Z169" s="8"/>
    </row>
    <row r="170" ht="13.5" customHeight="1">
      <c r="A170" s="211"/>
      <c r="B170" s="210"/>
      <c r="C170" s="210"/>
      <c r="D170" s="211"/>
      <c r="E170" s="210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8"/>
      <c r="V170" s="8"/>
      <c r="W170" s="8"/>
      <c r="X170" s="8"/>
      <c r="Y170" s="8"/>
      <c r="Z170" s="8"/>
    </row>
    <row r="171" ht="13.5" customHeight="1">
      <c r="A171" s="211"/>
      <c r="B171" s="210"/>
      <c r="C171" s="210"/>
      <c r="D171" s="211"/>
      <c r="E171" s="210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8"/>
      <c r="V171" s="8"/>
      <c r="W171" s="8"/>
      <c r="X171" s="8"/>
      <c r="Y171" s="8"/>
      <c r="Z171" s="8"/>
    </row>
    <row r="172" ht="13.5" customHeight="1">
      <c r="A172" s="211"/>
      <c r="B172" s="210"/>
      <c r="C172" s="210"/>
      <c r="D172" s="211"/>
      <c r="E172" s="210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8"/>
      <c r="V172" s="8"/>
      <c r="W172" s="8"/>
      <c r="X172" s="8"/>
      <c r="Y172" s="8"/>
      <c r="Z172" s="8"/>
    </row>
    <row r="173" ht="13.5" customHeight="1">
      <c r="A173" s="211"/>
      <c r="B173" s="210"/>
      <c r="C173" s="210"/>
      <c r="D173" s="211"/>
      <c r="E173" s="210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8"/>
      <c r="V173" s="8"/>
      <c r="W173" s="8"/>
      <c r="X173" s="8"/>
      <c r="Y173" s="8"/>
      <c r="Z173" s="8"/>
    </row>
    <row r="174" ht="13.5" customHeight="1">
      <c r="A174" s="211"/>
      <c r="B174" s="210"/>
      <c r="C174" s="210"/>
      <c r="D174" s="211"/>
      <c r="E174" s="210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8"/>
      <c r="V174" s="8"/>
      <c r="W174" s="8"/>
      <c r="X174" s="8"/>
      <c r="Y174" s="8"/>
      <c r="Z174" s="8"/>
    </row>
    <row r="175" ht="13.5" customHeight="1">
      <c r="A175" s="211"/>
      <c r="B175" s="210"/>
      <c r="C175" s="210"/>
      <c r="D175" s="211"/>
      <c r="E175" s="210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8"/>
      <c r="V175" s="8"/>
      <c r="W175" s="8"/>
      <c r="X175" s="8"/>
      <c r="Y175" s="8"/>
      <c r="Z175" s="8"/>
    </row>
    <row r="176" ht="13.5" customHeight="1">
      <c r="A176" s="211"/>
      <c r="B176" s="210"/>
      <c r="C176" s="210"/>
      <c r="D176" s="211"/>
      <c r="E176" s="210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8"/>
      <c r="V176" s="8"/>
      <c r="W176" s="8"/>
      <c r="X176" s="8"/>
      <c r="Y176" s="8"/>
      <c r="Z176" s="8"/>
    </row>
    <row r="177" ht="13.5" customHeight="1">
      <c r="A177" s="211"/>
      <c r="B177" s="210"/>
      <c r="C177" s="210"/>
      <c r="D177" s="211"/>
      <c r="E177" s="210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8"/>
      <c r="V177" s="8"/>
      <c r="W177" s="8"/>
      <c r="X177" s="8"/>
      <c r="Y177" s="8"/>
      <c r="Z177" s="8"/>
    </row>
    <row r="178" ht="13.5" customHeight="1">
      <c r="A178" s="211"/>
      <c r="B178" s="210"/>
      <c r="C178" s="210"/>
      <c r="D178" s="211"/>
      <c r="E178" s="210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8"/>
      <c r="V178" s="8"/>
      <c r="W178" s="8"/>
      <c r="X178" s="8"/>
      <c r="Y178" s="8"/>
      <c r="Z178" s="8"/>
    </row>
    <row r="179" ht="13.5" customHeight="1">
      <c r="A179" s="211"/>
      <c r="B179" s="210"/>
      <c r="C179" s="210"/>
      <c r="D179" s="211"/>
      <c r="E179" s="210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8"/>
      <c r="V179" s="8"/>
      <c r="W179" s="8"/>
      <c r="X179" s="8"/>
      <c r="Y179" s="8"/>
      <c r="Z179" s="8"/>
    </row>
    <row r="180" ht="13.5" customHeight="1">
      <c r="A180" s="211"/>
      <c r="B180" s="210"/>
      <c r="C180" s="210"/>
      <c r="D180" s="211"/>
      <c r="E180" s="210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8"/>
      <c r="V180" s="8"/>
      <c r="W180" s="8"/>
      <c r="X180" s="8"/>
      <c r="Y180" s="8"/>
      <c r="Z180" s="8"/>
    </row>
    <row r="181" ht="13.5" customHeight="1">
      <c r="A181" s="211"/>
      <c r="B181" s="210"/>
      <c r="C181" s="210"/>
      <c r="D181" s="211"/>
      <c r="E181" s="210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8"/>
      <c r="V181" s="8"/>
      <c r="W181" s="8"/>
      <c r="X181" s="8"/>
      <c r="Y181" s="8"/>
      <c r="Z181" s="8"/>
    </row>
    <row r="182" ht="13.5" customHeight="1">
      <c r="A182" s="211"/>
      <c r="B182" s="210"/>
      <c r="C182" s="210"/>
      <c r="D182" s="211"/>
      <c r="E182" s="210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8"/>
      <c r="V182" s="8"/>
      <c r="W182" s="8"/>
      <c r="X182" s="8"/>
      <c r="Y182" s="8"/>
      <c r="Z182" s="8"/>
    </row>
    <row r="183" ht="13.5" customHeight="1">
      <c r="A183" s="211"/>
      <c r="B183" s="210"/>
      <c r="C183" s="210"/>
      <c r="D183" s="211"/>
      <c r="E183" s="210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8"/>
      <c r="V183" s="8"/>
      <c r="W183" s="8"/>
      <c r="X183" s="8"/>
      <c r="Y183" s="8"/>
      <c r="Z183" s="8"/>
    </row>
    <row r="184" ht="13.5" customHeight="1">
      <c r="A184" s="211"/>
      <c r="B184" s="210"/>
      <c r="C184" s="210"/>
      <c r="D184" s="211"/>
      <c r="E184" s="210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8"/>
      <c r="V184" s="8"/>
      <c r="W184" s="8"/>
      <c r="X184" s="8"/>
      <c r="Y184" s="8"/>
      <c r="Z184" s="8"/>
    </row>
    <row r="185" ht="13.5" customHeight="1">
      <c r="A185" s="211"/>
      <c r="B185" s="210"/>
      <c r="C185" s="210"/>
      <c r="D185" s="211"/>
      <c r="E185" s="210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8"/>
      <c r="V185" s="8"/>
      <c r="W185" s="8"/>
      <c r="X185" s="8"/>
      <c r="Y185" s="8"/>
      <c r="Z185" s="8"/>
    </row>
    <row r="186" ht="13.5" customHeight="1">
      <c r="A186" s="211"/>
      <c r="B186" s="210"/>
      <c r="C186" s="210"/>
      <c r="D186" s="211"/>
      <c r="E186" s="210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8"/>
      <c r="V186" s="8"/>
      <c r="W186" s="8"/>
      <c r="X186" s="8"/>
      <c r="Y186" s="8"/>
      <c r="Z186" s="8"/>
    </row>
    <row r="187" ht="13.5" customHeight="1">
      <c r="A187" s="211"/>
      <c r="B187" s="210"/>
      <c r="C187" s="210"/>
      <c r="D187" s="211"/>
      <c r="E187" s="210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8"/>
      <c r="V187" s="8"/>
      <c r="W187" s="8"/>
      <c r="X187" s="8"/>
      <c r="Y187" s="8"/>
      <c r="Z187" s="8"/>
    </row>
    <row r="188" ht="13.5" customHeight="1">
      <c r="A188" s="211"/>
      <c r="B188" s="210"/>
      <c r="C188" s="210"/>
      <c r="D188" s="211"/>
      <c r="E188" s="210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8"/>
      <c r="V188" s="8"/>
      <c r="W188" s="8"/>
      <c r="X188" s="8"/>
      <c r="Y188" s="8"/>
      <c r="Z188" s="8"/>
    </row>
    <row r="189" ht="13.5" customHeight="1">
      <c r="A189" s="211"/>
      <c r="B189" s="210"/>
      <c r="C189" s="210"/>
      <c r="D189" s="211"/>
      <c r="E189" s="210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8"/>
      <c r="V189" s="8"/>
      <c r="W189" s="8"/>
      <c r="X189" s="8"/>
      <c r="Y189" s="8"/>
      <c r="Z189" s="8"/>
    </row>
    <row r="190" ht="13.5" customHeight="1">
      <c r="A190" s="211"/>
      <c r="B190" s="210"/>
      <c r="C190" s="210"/>
      <c r="D190" s="211"/>
      <c r="E190" s="210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8"/>
      <c r="V190" s="8"/>
      <c r="W190" s="8"/>
      <c r="X190" s="8"/>
      <c r="Y190" s="8"/>
      <c r="Z190" s="8"/>
    </row>
    <row r="191" ht="13.5" customHeight="1">
      <c r="A191" s="211"/>
      <c r="B191" s="210"/>
      <c r="C191" s="210"/>
      <c r="D191" s="211"/>
      <c r="E191" s="210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8"/>
      <c r="V191" s="8"/>
      <c r="W191" s="8"/>
      <c r="X191" s="8"/>
      <c r="Y191" s="8"/>
      <c r="Z191" s="8"/>
    </row>
    <row r="192" ht="13.5" customHeight="1">
      <c r="A192" s="211"/>
      <c r="B192" s="210"/>
      <c r="C192" s="210"/>
      <c r="D192" s="211"/>
      <c r="E192" s="210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8"/>
      <c r="V192" s="8"/>
      <c r="W192" s="8"/>
      <c r="X192" s="8"/>
      <c r="Y192" s="8"/>
      <c r="Z192" s="8"/>
    </row>
    <row r="193" ht="13.5" customHeight="1">
      <c r="A193" s="211"/>
      <c r="B193" s="210"/>
      <c r="C193" s="210"/>
      <c r="D193" s="211"/>
      <c r="E193" s="210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8"/>
      <c r="V193" s="8"/>
      <c r="W193" s="8"/>
      <c r="X193" s="8"/>
      <c r="Y193" s="8"/>
      <c r="Z193" s="8"/>
    </row>
    <row r="194" ht="13.5" customHeight="1">
      <c r="A194" s="211"/>
      <c r="B194" s="210"/>
      <c r="C194" s="210"/>
      <c r="D194" s="211"/>
      <c r="E194" s="210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8"/>
      <c r="V194" s="8"/>
      <c r="W194" s="8"/>
      <c r="X194" s="8"/>
      <c r="Y194" s="8"/>
      <c r="Z194" s="8"/>
    </row>
    <row r="195" ht="13.5" customHeight="1">
      <c r="A195" s="211"/>
      <c r="B195" s="210"/>
      <c r="C195" s="210"/>
      <c r="D195" s="211"/>
      <c r="E195" s="210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8"/>
      <c r="V195" s="8"/>
      <c r="W195" s="8"/>
      <c r="X195" s="8"/>
      <c r="Y195" s="8"/>
      <c r="Z195" s="8"/>
    </row>
    <row r="196" ht="13.5" customHeight="1">
      <c r="A196" s="211"/>
      <c r="B196" s="210"/>
      <c r="C196" s="210"/>
      <c r="D196" s="211"/>
      <c r="E196" s="210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8"/>
      <c r="V196" s="8"/>
      <c r="W196" s="8"/>
      <c r="X196" s="8"/>
      <c r="Y196" s="8"/>
      <c r="Z196" s="8"/>
    </row>
    <row r="197" ht="13.5" customHeight="1">
      <c r="A197" s="211"/>
      <c r="B197" s="210"/>
      <c r="C197" s="210"/>
      <c r="D197" s="211"/>
      <c r="E197" s="210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8"/>
      <c r="V197" s="8"/>
      <c r="W197" s="8"/>
      <c r="X197" s="8"/>
      <c r="Y197" s="8"/>
      <c r="Z197" s="8"/>
    </row>
    <row r="198" ht="13.5" customHeight="1">
      <c r="A198" s="211"/>
      <c r="B198" s="210"/>
      <c r="C198" s="210"/>
      <c r="D198" s="211"/>
      <c r="E198" s="210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8"/>
      <c r="V198" s="8"/>
      <c r="W198" s="8"/>
      <c r="X198" s="8"/>
      <c r="Y198" s="8"/>
      <c r="Z198" s="8"/>
    </row>
    <row r="199" ht="13.5" customHeight="1">
      <c r="A199" s="211"/>
      <c r="B199" s="210"/>
      <c r="C199" s="210"/>
      <c r="D199" s="211"/>
      <c r="E199" s="210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8"/>
      <c r="V199" s="8"/>
      <c r="W199" s="8"/>
      <c r="X199" s="8"/>
      <c r="Y199" s="8"/>
      <c r="Z199" s="8"/>
    </row>
    <row r="200" ht="13.5" customHeight="1">
      <c r="A200" s="211"/>
      <c r="B200" s="210"/>
      <c r="C200" s="210"/>
      <c r="D200" s="211"/>
      <c r="E200" s="210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8"/>
      <c r="V200" s="8"/>
      <c r="W200" s="8"/>
      <c r="X200" s="8"/>
      <c r="Y200" s="8"/>
      <c r="Z200" s="8"/>
    </row>
    <row r="201" ht="13.5" customHeight="1">
      <c r="A201" s="211"/>
      <c r="B201" s="210"/>
      <c r="C201" s="210"/>
      <c r="D201" s="211"/>
      <c r="E201" s="210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8"/>
      <c r="V201" s="8"/>
      <c r="W201" s="8"/>
      <c r="X201" s="8"/>
      <c r="Y201" s="8"/>
      <c r="Z201" s="8"/>
    </row>
    <row r="202" ht="13.5" customHeight="1">
      <c r="A202" s="211"/>
      <c r="B202" s="210"/>
      <c r="C202" s="210"/>
      <c r="D202" s="211"/>
      <c r="E202" s="210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8"/>
      <c r="V202" s="8"/>
      <c r="W202" s="8"/>
      <c r="X202" s="8"/>
      <c r="Y202" s="8"/>
      <c r="Z202" s="8"/>
    </row>
    <row r="203" ht="13.5" customHeight="1">
      <c r="A203" s="211"/>
      <c r="B203" s="210"/>
      <c r="C203" s="210"/>
      <c r="D203" s="211"/>
      <c r="E203" s="210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8"/>
      <c r="V203" s="8"/>
      <c r="W203" s="8"/>
      <c r="X203" s="8"/>
      <c r="Y203" s="8"/>
      <c r="Z203" s="8"/>
    </row>
    <row r="204" ht="13.5" customHeight="1">
      <c r="A204" s="211"/>
      <c r="B204" s="210"/>
      <c r="C204" s="210"/>
      <c r="D204" s="211"/>
      <c r="E204" s="210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8"/>
      <c r="V204" s="8"/>
      <c r="W204" s="8"/>
      <c r="X204" s="8"/>
      <c r="Y204" s="8"/>
      <c r="Z204" s="8"/>
    </row>
    <row r="205" ht="13.5" customHeight="1">
      <c r="A205" s="211"/>
      <c r="B205" s="210"/>
      <c r="C205" s="210"/>
      <c r="D205" s="211"/>
      <c r="E205" s="210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8"/>
      <c r="V205" s="8"/>
      <c r="W205" s="8"/>
      <c r="X205" s="8"/>
      <c r="Y205" s="8"/>
      <c r="Z205" s="8"/>
    </row>
    <row r="206" ht="13.5" customHeight="1">
      <c r="A206" s="211"/>
      <c r="B206" s="210"/>
      <c r="C206" s="210"/>
      <c r="D206" s="211"/>
      <c r="E206" s="210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8"/>
      <c r="V206" s="8"/>
      <c r="W206" s="8"/>
      <c r="X206" s="8"/>
      <c r="Y206" s="8"/>
      <c r="Z206" s="8"/>
    </row>
    <row r="207" ht="13.5" customHeight="1">
      <c r="A207" s="211"/>
      <c r="B207" s="210"/>
      <c r="C207" s="210"/>
      <c r="D207" s="211"/>
      <c r="E207" s="210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8"/>
      <c r="V207" s="8"/>
      <c r="W207" s="8"/>
      <c r="X207" s="8"/>
      <c r="Y207" s="8"/>
      <c r="Z207" s="8"/>
    </row>
    <row r="208" ht="13.5" customHeight="1">
      <c r="A208" s="211"/>
      <c r="B208" s="210"/>
      <c r="C208" s="210"/>
      <c r="D208" s="211"/>
      <c r="E208" s="210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8"/>
      <c r="V208" s="8"/>
      <c r="W208" s="8"/>
      <c r="X208" s="8"/>
      <c r="Y208" s="8"/>
      <c r="Z208" s="8"/>
    </row>
    <row r="209" ht="13.5" customHeight="1">
      <c r="A209" s="211"/>
      <c r="B209" s="210"/>
      <c r="C209" s="210"/>
      <c r="D209" s="211"/>
      <c r="E209" s="210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8"/>
      <c r="V209" s="8"/>
      <c r="W209" s="8"/>
      <c r="X209" s="8"/>
      <c r="Y209" s="8"/>
      <c r="Z209" s="8"/>
    </row>
    <row r="210" ht="13.5" customHeight="1">
      <c r="A210" s="211"/>
      <c r="B210" s="210"/>
      <c r="C210" s="210"/>
      <c r="D210" s="211"/>
      <c r="E210" s="210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8"/>
      <c r="V210" s="8"/>
      <c r="W210" s="8"/>
      <c r="X210" s="8"/>
      <c r="Y210" s="8"/>
      <c r="Z210" s="8"/>
    </row>
    <row r="211" ht="13.5" customHeight="1">
      <c r="A211" s="211"/>
      <c r="B211" s="210"/>
      <c r="C211" s="210"/>
      <c r="D211" s="211"/>
      <c r="E211" s="210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8"/>
      <c r="V211" s="8"/>
      <c r="W211" s="8"/>
      <c r="X211" s="8"/>
      <c r="Y211" s="8"/>
      <c r="Z211" s="8"/>
    </row>
    <row r="212" ht="13.5" customHeight="1">
      <c r="A212" s="211"/>
      <c r="B212" s="210"/>
      <c r="C212" s="210"/>
      <c r="D212" s="211"/>
      <c r="E212" s="210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8"/>
      <c r="V212" s="8"/>
      <c r="W212" s="8"/>
      <c r="X212" s="8"/>
      <c r="Y212" s="8"/>
      <c r="Z212" s="8"/>
    </row>
    <row r="213" ht="13.5" customHeight="1">
      <c r="A213" s="211"/>
      <c r="B213" s="210"/>
      <c r="C213" s="210"/>
      <c r="D213" s="211"/>
      <c r="E213" s="210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8"/>
      <c r="V213" s="8"/>
      <c r="W213" s="8"/>
      <c r="X213" s="8"/>
      <c r="Y213" s="8"/>
      <c r="Z213" s="8"/>
    </row>
    <row r="214" ht="13.5" customHeight="1">
      <c r="A214" s="211"/>
      <c r="B214" s="210"/>
      <c r="C214" s="210"/>
      <c r="D214" s="211"/>
      <c r="E214" s="210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8"/>
      <c r="V214" s="8"/>
      <c r="W214" s="8"/>
      <c r="X214" s="8"/>
      <c r="Y214" s="8"/>
      <c r="Z214" s="8"/>
    </row>
    <row r="215" ht="13.5" customHeight="1">
      <c r="A215" s="211"/>
      <c r="B215" s="210"/>
      <c r="C215" s="210"/>
      <c r="D215" s="211"/>
      <c r="E215" s="210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8"/>
      <c r="V215" s="8"/>
      <c r="W215" s="8"/>
      <c r="X215" s="8"/>
      <c r="Y215" s="8"/>
      <c r="Z215" s="8"/>
    </row>
    <row r="216" ht="13.5" customHeight="1">
      <c r="A216" s="211"/>
      <c r="B216" s="210"/>
      <c r="C216" s="210"/>
      <c r="D216" s="211"/>
      <c r="E216" s="210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8"/>
      <c r="V216" s="8"/>
      <c r="W216" s="8"/>
      <c r="X216" s="8"/>
      <c r="Y216" s="8"/>
      <c r="Z216" s="8"/>
    </row>
    <row r="217" ht="13.5" customHeight="1">
      <c r="A217" s="211"/>
      <c r="B217" s="210"/>
      <c r="C217" s="210"/>
      <c r="D217" s="211"/>
      <c r="E217" s="210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8"/>
      <c r="V217" s="8"/>
      <c r="W217" s="8"/>
      <c r="X217" s="8"/>
      <c r="Y217" s="8"/>
      <c r="Z217" s="8"/>
    </row>
    <row r="218" ht="13.5" customHeight="1">
      <c r="A218" s="211"/>
      <c r="B218" s="210"/>
      <c r="C218" s="210"/>
      <c r="D218" s="211"/>
      <c r="E218" s="210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8"/>
      <c r="V218" s="8"/>
      <c r="W218" s="8"/>
      <c r="X218" s="8"/>
      <c r="Y218" s="8"/>
      <c r="Z218" s="8"/>
    </row>
    <row r="219" ht="13.5" customHeight="1">
      <c r="A219" s="211"/>
      <c r="B219" s="210"/>
      <c r="C219" s="210"/>
      <c r="D219" s="211"/>
      <c r="E219" s="210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8"/>
      <c r="V219" s="8"/>
      <c r="W219" s="8"/>
      <c r="X219" s="8"/>
      <c r="Y219" s="8"/>
      <c r="Z219" s="8"/>
    </row>
    <row r="220" ht="13.5" customHeight="1">
      <c r="A220" s="211"/>
      <c r="B220" s="210"/>
      <c r="C220" s="210"/>
      <c r="D220" s="211"/>
      <c r="E220" s="210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8"/>
      <c r="V220" s="8"/>
      <c r="W220" s="8"/>
      <c r="X220" s="8"/>
      <c r="Y220" s="8"/>
      <c r="Z220" s="8"/>
    </row>
    <row r="221" ht="13.5" customHeight="1">
      <c r="A221" s="211"/>
      <c r="B221" s="210"/>
      <c r="C221" s="210"/>
      <c r="D221" s="211"/>
      <c r="E221" s="210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8"/>
      <c r="V221" s="8"/>
      <c r="W221" s="8"/>
      <c r="X221" s="8"/>
      <c r="Y221" s="8"/>
      <c r="Z221" s="8"/>
    </row>
    <row r="222" ht="13.5" customHeight="1">
      <c r="A222" s="211"/>
      <c r="B222" s="210"/>
      <c r="C222" s="210"/>
      <c r="D222" s="211"/>
      <c r="E222" s="210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8"/>
      <c r="V222" s="8"/>
      <c r="W222" s="8"/>
      <c r="X222" s="8"/>
      <c r="Y222" s="8"/>
      <c r="Z222" s="8"/>
    </row>
    <row r="223" ht="13.5" customHeight="1">
      <c r="A223" s="211"/>
      <c r="B223" s="210"/>
      <c r="C223" s="210"/>
      <c r="D223" s="211"/>
      <c r="E223" s="210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8"/>
      <c r="V223" s="8"/>
      <c r="W223" s="8"/>
      <c r="X223" s="8"/>
      <c r="Y223" s="8"/>
      <c r="Z223" s="8"/>
    </row>
    <row r="224" ht="13.5" customHeight="1">
      <c r="A224" s="211"/>
      <c r="B224" s="210"/>
      <c r="C224" s="210"/>
      <c r="D224" s="211"/>
      <c r="E224" s="210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8"/>
      <c r="V224" s="8"/>
      <c r="W224" s="8"/>
      <c r="X224" s="8"/>
      <c r="Y224" s="8"/>
      <c r="Z224" s="8"/>
    </row>
    <row r="225" ht="13.5" customHeight="1">
      <c r="A225" s="211"/>
      <c r="B225" s="210"/>
      <c r="C225" s="210"/>
      <c r="D225" s="211"/>
      <c r="E225" s="210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8"/>
      <c r="V225" s="8"/>
      <c r="W225" s="8"/>
      <c r="X225" s="8"/>
      <c r="Y225" s="8"/>
      <c r="Z225" s="8"/>
    </row>
    <row r="226" ht="13.5" customHeight="1">
      <c r="A226" s="211"/>
      <c r="B226" s="210"/>
      <c r="C226" s="210"/>
      <c r="D226" s="211"/>
      <c r="E226" s="210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8"/>
      <c r="V226" s="8"/>
      <c r="W226" s="8"/>
      <c r="X226" s="8"/>
      <c r="Y226" s="8"/>
      <c r="Z226" s="8"/>
    </row>
    <row r="227" ht="13.5" customHeight="1">
      <c r="A227" s="211"/>
      <c r="B227" s="210"/>
      <c r="C227" s="210"/>
      <c r="D227" s="211"/>
      <c r="E227" s="210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8"/>
      <c r="V227" s="8"/>
      <c r="W227" s="8"/>
      <c r="X227" s="8"/>
      <c r="Y227" s="8"/>
      <c r="Z227" s="8"/>
    </row>
    <row r="228" ht="13.5" customHeight="1">
      <c r="A228" s="211"/>
      <c r="B228" s="210"/>
      <c r="C228" s="210"/>
      <c r="D228" s="211"/>
      <c r="E228" s="210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8"/>
      <c r="V228" s="8"/>
      <c r="W228" s="8"/>
      <c r="X228" s="8"/>
      <c r="Y228" s="8"/>
      <c r="Z228" s="8"/>
    </row>
    <row r="229" ht="13.5" customHeight="1">
      <c r="A229" s="211"/>
      <c r="B229" s="210"/>
      <c r="C229" s="210"/>
      <c r="D229" s="211"/>
      <c r="E229" s="210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8"/>
      <c r="V229" s="8"/>
      <c r="W229" s="8"/>
      <c r="X229" s="8"/>
      <c r="Y229" s="8"/>
      <c r="Z229" s="8"/>
    </row>
    <row r="230" ht="13.5" customHeight="1">
      <c r="A230" s="211"/>
      <c r="B230" s="210"/>
      <c r="C230" s="210"/>
      <c r="D230" s="211"/>
      <c r="E230" s="210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8"/>
      <c r="V230" s="8"/>
      <c r="W230" s="8"/>
      <c r="X230" s="8"/>
      <c r="Y230" s="8"/>
      <c r="Z230" s="8"/>
    </row>
    <row r="231" ht="13.5" customHeight="1">
      <c r="A231" s="211"/>
      <c r="B231" s="210"/>
      <c r="C231" s="210"/>
      <c r="D231" s="211"/>
      <c r="E231" s="210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8"/>
      <c r="V231" s="8"/>
      <c r="W231" s="8"/>
      <c r="X231" s="8"/>
      <c r="Y231" s="8"/>
      <c r="Z231" s="8"/>
    </row>
    <row r="232" ht="13.5" customHeight="1">
      <c r="A232" s="8"/>
      <c r="B232" s="278"/>
      <c r="C232" s="278"/>
      <c r="D232" s="8"/>
      <c r="E232" s="27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278"/>
      <c r="C233" s="278"/>
      <c r="D233" s="8"/>
      <c r="E233" s="27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278"/>
      <c r="C234" s="278"/>
      <c r="D234" s="8"/>
      <c r="E234" s="27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278"/>
      <c r="C235" s="278"/>
      <c r="D235" s="8"/>
      <c r="E235" s="27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278"/>
      <c r="C236" s="278"/>
      <c r="D236" s="8"/>
      <c r="E236" s="27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278"/>
      <c r="C237" s="278"/>
      <c r="D237" s="8"/>
      <c r="E237" s="27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278"/>
      <c r="C238" s="278"/>
      <c r="D238" s="8"/>
      <c r="E238" s="27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278"/>
      <c r="C239" s="278"/>
      <c r="D239" s="8"/>
      <c r="E239" s="27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278"/>
      <c r="C240" s="278"/>
      <c r="D240" s="8"/>
      <c r="E240" s="27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278"/>
      <c r="C241" s="278"/>
      <c r="D241" s="8"/>
      <c r="E241" s="27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278"/>
      <c r="C242" s="278"/>
      <c r="D242" s="8"/>
      <c r="E242" s="27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278"/>
      <c r="C243" s="278"/>
      <c r="D243" s="8"/>
      <c r="E243" s="27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278"/>
      <c r="C244" s="278"/>
      <c r="D244" s="8"/>
      <c r="E244" s="27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278"/>
      <c r="C245" s="278"/>
      <c r="D245" s="8"/>
      <c r="E245" s="27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278"/>
      <c r="C246" s="278"/>
      <c r="D246" s="8"/>
      <c r="E246" s="27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278"/>
      <c r="C247" s="278"/>
      <c r="D247" s="8"/>
      <c r="E247" s="27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278"/>
      <c r="C248" s="278"/>
      <c r="D248" s="8"/>
      <c r="E248" s="27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278"/>
      <c r="C249" s="278"/>
      <c r="D249" s="8"/>
      <c r="E249" s="27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278"/>
      <c r="C250" s="278"/>
      <c r="D250" s="8"/>
      <c r="E250" s="27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278"/>
      <c r="C251" s="278"/>
      <c r="D251" s="8"/>
      <c r="E251" s="27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278"/>
      <c r="C252" s="278"/>
      <c r="D252" s="8"/>
      <c r="E252" s="27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278"/>
      <c r="C253" s="278"/>
      <c r="D253" s="8"/>
      <c r="E253" s="27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278"/>
      <c r="C254" s="278"/>
      <c r="D254" s="8"/>
      <c r="E254" s="27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278"/>
      <c r="C255" s="278"/>
      <c r="D255" s="8"/>
      <c r="E255" s="27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278"/>
      <c r="C256" s="278"/>
      <c r="D256" s="8"/>
      <c r="E256" s="27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278"/>
      <c r="C257" s="278"/>
      <c r="D257" s="8"/>
      <c r="E257" s="27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278"/>
      <c r="C258" s="278"/>
      <c r="D258" s="8"/>
      <c r="E258" s="27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278"/>
      <c r="C259" s="278"/>
      <c r="D259" s="8"/>
      <c r="E259" s="27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278"/>
      <c r="C260" s="278"/>
      <c r="D260" s="8"/>
      <c r="E260" s="27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278"/>
      <c r="C261" s="278"/>
      <c r="D261" s="8"/>
      <c r="E261" s="27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278"/>
      <c r="C262" s="278"/>
      <c r="D262" s="8"/>
      <c r="E262" s="27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278"/>
      <c r="C263" s="278"/>
      <c r="D263" s="8"/>
      <c r="E263" s="27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278"/>
      <c r="C264" s="278"/>
      <c r="D264" s="8"/>
      <c r="E264" s="27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278"/>
      <c r="C265" s="278"/>
      <c r="D265" s="8"/>
      <c r="E265" s="27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278"/>
      <c r="C266" s="278"/>
      <c r="D266" s="8"/>
      <c r="E266" s="27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278"/>
      <c r="C267" s="278"/>
      <c r="D267" s="8"/>
      <c r="E267" s="27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278"/>
      <c r="C268" s="278"/>
      <c r="D268" s="8"/>
      <c r="E268" s="27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278"/>
      <c r="C269" s="278"/>
      <c r="D269" s="8"/>
      <c r="E269" s="27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278"/>
      <c r="C270" s="278"/>
      <c r="D270" s="8"/>
      <c r="E270" s="27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278"/>
      <c r="C271" s="278"/>
      <c r="D271" s="8"/>
      <c r="E271" s="27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278"/>
      <c r="C272" s="278"/>
      <c r="D272" s="8"/>
      <c r="E272" s="27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278"/>
      <c r="C273" s="278"/>
      <c r="D273" s="8"/>
      <c r="E273" s="27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278"/>
      <c r="C274" s="278"/>
      <c r="D274" s="8"/>
      <c r="E274" s="27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278"/>
      <c r="C275" s="278"/>
      <c r="D275" s="8"/>
      <c r="E275" s="27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278"/>
      <c r="C276" s="278"/>
      <c r="D276" s="8"/>
      <c r="E276" s="27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278"/>
      <c r="C277" s="278"/>
      <c r="D277" s="8"/>
      <c r="E277" s="27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278"/>
      <c r="C278" s="278"/>
      <c r="D278" s="8"/>
      <c r="E278" s="27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278"/>
      <c r="C279" s="278"/>
      <c r="D279" s="8"/>
      <c r="E279" s="27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278"/>
      <c r="C280" s="278"/>
      <c r="D280" s="8"/>
      <c r="E280" s="27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278"/>
      <c r="C281" s="278"/>
      <c r="D281" s="8"/>
      <c r="E281" s="27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278"/>
      <c r="C282" s="278"/>
      <c r="D282" s="8"/>
      <c r="E282" s="27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278"/>
      <c r="C283" s="278"/>
      <c r="D283" s="8"/>
      <c r="E283" s="27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278"/>
      <c r="C284" s="278"/>
      <c r="D284" s="8"/>
      <c r="E284" s="27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278"/>
      <c r="C285" s="278"/>
      <c r="D285" s="8"/>
      <c r="E285" s="27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278"/>
      <c r="C286" s="278"/>
      <c r="D286" s="8"/>
      <c r="E286" s="27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278"/>
      <c r="C287" s="278"/>
      <c r="D287" s="8"/>
      <c r="E287" s="27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278"/>
      <c r="C288" s="278"/>
      <c r="D288" s="8"/>
      <c r="E288" s="27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278"/>
      <c r="C289" s="278"/>
      <c r="D289" s="8"/>
      <c r="E289" s="27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278"/>
      <c r="C290" s="278"/>
      <c r="D290" s="8"/>
      <c r="E290" s="27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278"/>
      <c r="C291" s="278"/>
      <c r="D291" s="8"/>
      <c r="E291" s="27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278"/>
      <c r="C292" s="278"/>
      <c r="D292" s="8"/>
      <c r="E292" s="27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278"/>
      <c r="C293" s="278"/>
      <c r="D293" s="8"/>
      <c r="E293" s="27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278"/>
      <c r="C294" s="278"/>
      <c r="D294" s="8"/>
      <c r="E294" s="27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278"/>
      <c r="C295" s="278"/>
      <c r="D295" s="8"/>
      <c r="E295" s="27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278"/>
      <c r="C296" s="278"/>
      <c r="D296" s="8"/>
      <c r="E296" s="27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278"/>
      <c r="C297" s="278"/>
      <c r="D297" s="8"/>
      <c r="E297" s="27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278"/>
      <c r="C298" s="278"/>
      <c r="D298" s="8"/>
      <c r="E298" s="27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278"/>
      <c r="C299" s="278"/>
      <c r="D299" s="8"/>
      <c r="E299" s="27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278"/>
      <c r="C300" s="278"/>
      <c r="D300" s="8"/>
      <c r="E300" s="27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278"/>
      <c r="C301" s="278"/>
      <c r="D301" s="8"/>
      <c r="E301" s="27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278"/>
      <c r="C302" s="278"/>
      <c r="D302" s="8"/>
      <c r="E302" s="27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278"/>
      <c r="C303" s="278"/>
      <c r="D303" s="8"/>
      <c r="E303" s="27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278"/>
      <c r="C304" s="278"/>
      <c r="D304" s="8"/>
      <c r="E304" s="27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278"/>
      <c r="C305" s="278"/>
      <c r="D305" s="8"/>
      <c r="E305" s="27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278"/>
      <c r="C306" s="278"/>
      <c r="D306" s="8"/>
      <c r="E306" s="27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278"/>
      <c r="C307" s="278"/>
      <c r="D307" s="8"/>
      <c r="E307" s="27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278"/>
      <c r="C308" s="278"/>
      <c r="D308" s="8"/>
      <c r="E308" s="27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278"/>
      <c r="C309" s="278"/>
      <c r="D309" s="8"/>
      <c r="E309" s="27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278"/>
      <c r="C310" s="278"/>
      <c r="D310" s="8"/>
      <c r="E310" s="27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278"/>
      <c r="C311" s="278"/>
      <c r="D311" s="8"/>
      <c r="E311" s="27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278"/>
      <c r="C312" s="278"/>
      <c r="D312" s="8"/>
      <c r="E312" s="27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278"/>
      <c r="C313" s="278"/>
      <c r="D313" s="8"/>
      <c r="E313" s="27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278"/>
      <c r="C314" s="278"/>
      <c r="D314" s="8"/>
      <c r="E314" s="27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278"/>
      <c r="C315" s="278"/>
      <c r="D315" s="8"/>
      <c r="E315" s="27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278"/>
      <c r="C316" s="278"/>
      <c r="D316" s="8"/>
      <c r="E316" s="27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278"/>
      <c r="C317" s="278"/>
      <c r="D317" s="8"/>
      <c r="E317" s="27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278"/>
      <c r="C318" s="278"/>
      <c r="D318" s="8"/>
      <c r="E318" s="27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278"/>
      <c r="C319" s="278"/>
      <c r="D319" s="8"/>
      <c r="E319" s="27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278"/>
      <c r="C320" s="278"/>
      <c r="D320" s="8"/>
      <c r="E320" s="27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278"/>
      <c r="C321" s="278"/>
      <c r="D321" s="8"/>
      <c r="E321" s="27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278"/>
      <c r="C322" s="278"/>
      <c r="D322" s="8"/>
      <c r="E322" s="27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278"/>
      <c r="C323" s="278"/>
      <c r="D323" s="8"/>
      <c r="E323" s="27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278"/>
      <c r="C324" s="278"/>
      <c r="D324" s="8"/>
      <c r="E324" s="27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278"/>
      <c r="C325" s="278"/>
      <c r="D325" s="8"/>
      <c r="E325" s="27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278"/>
      <c r="C326" s="278"/>
      <c r="D326" s="8"/>
      <c r="E326" s="27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278"/>
      <c r="C327" s="278"/>
      <c r="D327" s="8"/>
      <c r="E327" s="27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278"/>
      <c r="C328" s="278"/>
      <c r="D328" s="8"/>
      <c r="E328" s="27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278"/>
      <c r="C329" s="278"/>
      <c r="D329" s="8"/>
      <c r="E329" s="27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278"/>
      <c r="C330" s="278"/>
      <c r="D330" s="8"/>
      <c r="E330" s="27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278"/>
      <c r="C331" s="278"/>
      <c r="D331" s="8"/>
      <c r="E331" s="27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278"/>
      <c r="C332" s="278"/>
      <c r="D332" s="8"/>
      <c r="E332" s="27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278"/>
      <c r="C333" s="278"/>
      <c r="D333" s="8"/>
      <c r="E333" s="27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278"/>
      <c r="C334" s="278"/>
      <c r="D334" s="8"/>
      <c r="E334" s="27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278"/>
      <c r="C335" s="278"/>
      <c r="D335" s="8"/>
      <c r="E335" s="27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278"/>
      <c r="C336" s="278"/>
      <c r="D336" s="8"/>
      <c r="E336" s="27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278"/>
      <c r="C337" s="278"/>
      <c r="D337" s="8"/>
      <c r="E337" s="27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278"/>
      <c r="C338" s="278"/>
      <c r="D338" s="8"/>
      <c r="E338" s="27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278"/>
      <c r="C339" s="278"/>
      <c r="D339" s="8"/>
      <c r="E339" s="27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278"/>
      <c r="C340" s="278"/>
      <c r="D340" s="8"/>
      <c r="E340" s="27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278"/>
      <c r="C341" s="278"/>
      <c r="D341" s="8"/>
      <c r="E341" s="27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278"/>
      <c r="C342" s="278"/>
      <c r="D342" s="8"/>
      <c r="E342" s="27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278"/>
      <c r="C343" s="278"/>
      <c r="D343" s="8"/>
      <c r="E343" s="27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278"/>
      <c r="C344" s="278"/>
      <c r="D344" s="8"/>
      <c r="E344" s="27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278"/>
      <c r="C345" s="278"/>
      <c r="D345" s="8"/>
      <c r="E345" s="27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278"/>
      <c r="C346" s="278"/>
      <c r="D346" s="8"/>
      <c r="E346" s="27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278"/>
      <c r="C347" s="278"/>
      <c r="D347" s="8"/>
      <c r="E347" s="27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278"/>
      <c r="C348" s="278"/>
      <c r="D348" s="8"/>
      <c r="E348" s="27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278"/>
      <c r="C349" s="278"/>
      <c r="D349" s="8"/>
      <c r="E349" s="27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278"/>
      <c r="C350" s="278"/>
      <c r="D350" s="8"/>
      <c r="E350" s="27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278"/>
      <c r="C351" s="278"/>
      <c r="D351" s="8"/>
      <c r="E351" s="27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278"/>
      <c r="C352" s="278"/>
      <c r="D352" s="8"/>
      <c r="E352" s="27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278"/>
      <c r="C353" s="278"/>
      <c r="D353" s="8"/>
      <c r="E353" s="27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278"/>
      <c r="C354" s="278"/>
      <c r="D354" s="8"/>
      <c r="E354" s="27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278"/>
      <c r="C355" s="278"/>
      <c r="D355" s="8"/>
      <c r="E355" s="27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278"/>
      <c r="C356" s="278"/>
      <c r="D356" s="8"/>
      <c r="E356" s="27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278"/>
      <c r="C357" s="278"/>
      <c r="D357" s="8"/>
      <c r="E357" s="27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278"/>
      <c r="C358" s="278"/>
      <c r="D358" s="8"/>
      <c r="E358" s="27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278"/>
      <c r="C359" s="278"/>
      <c r="D359" s="8"/>
      <c r="E359" s="27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278"/>
      <c r="C360" s="278"/>
      <c r="D360" s="8"/>
      <c r="E360" s="27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278"/>
      <c r="C361" s="278"/>
      <c r="D361" s="8"/>
      <c r="E361" s="27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278"/>
      <c r="C362" s="278"/>
      <c r="D362" s="8"/>
      <c r="E362" s="27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278"/>
      <c r="C363" s="278"/>
      <c r="D363" s="8"/>
      <c r="E363" s="27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278"/>
      <c r="C364" s="278"/>
      <c r="D364" s="8"/>
      <c r="E364" s="27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278"/>
      <c r="C365" s="278"/>
      <c r="D365" s="8"/>
      <c r="E365" s="27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278"/>
      <c r="C366" s="278"/>
      <c r="D366" s="8"/>
      <c r="E366" s="27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278"/>
      <c r="C367" s="278"/>
      <c r="D367" s="8"/>
      <c r="E367" s="27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278"/>
      <c r="C368" s="278"/>
      <c r="D368" s="8"/>
      <c r="E368" s="27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278"/>
      <c r="C369" s="278"/>
      <c r="D369" s="8"/>
      <c r="E369" s="27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278"/>
      <c r="C370" s="278"/>
      <c r="D370" s="8"/>
      <c r="E370" s="27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278"/>
      <c r="C371" s="278"/>
      <c r="D371" s="8"/>
      <c r="E371" s="27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278"/>
      <c r="C372" s="278"/>
      <c r="D372" s="8"/>
      <c r="E372" s="27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278"/>
      <c r="C373" s="278"/>
      <c r="D373" s="8"/>
      <c r="E373" s="27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278"/>
      <c r="C374" s="278"/>
      <c r="D374" s="8"/>
      <c r="E374" s="27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278"/>
      <c r="C375" s="278"/>
      <c r="D375" s="8"/>
      <c r="E375" s="27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278"/>
      <c r="C376" s="278"/>
      <c r="D376" s="8"/>
      <c r="E376" s="27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278"/>
      <c r="C377" s="278"/>
      <c r="D377" s="8"/>
      <c r="E377" s="27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278"/>
      <c r="C378" s="278"/>
      <c r="D378" s="8"/>
      <c r="E378" s="27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278"/>
      <c r="C379" s="278"/>
      <c r="D379" s="8"/>
      <c r="E379" s="27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278"/>
      <c r="C380" s="278"/>
      <c r="D380" s="8"/>
      <c r="E380" s="27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278"/>
      <c r="C381" s="278"/>
      <c r="D381" s="8"/>
      <c r="E381" s="27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278"/>
      <c r="C382" s="278"/>
      <c r="D382" s="8"/>
      <c r="E382" s="27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278"/>
      <c r="C383" s="278"/>
      <c r="D383" s="8"/>
      <c r="E383" s="27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278"/>
      <c r="C384" s="278"/>
      <c r="D384" s="8"/>
      <c r="E384" s="27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278"/>
      <c r="C385" s="278"/>
      <c r="D385" s="8"/>
      <c r="E385" s="27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278"/>
      <c r="C386" s="278"/>
      <c r="D386" s="8"/>
      <c r="E386" s="27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278"/>
      <c r="C387" s="278"/>
      <c r="D387" s="8"/>
      <c r="E387" s="27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278"/>
      <c r="C388" s="278"/>
      <c r="D388" s="8"/>
      <c r="E388" s="27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278"/>
      <c r="C389" s="278"/>
      <c r="D389" s="8"/>
      <c r="E389" s="27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278"/>
      <c r="C390" s="278"/>
      <c r="D390" s="8"/>
      <c r="E390" s="27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278"/>
      <c r="C391" s="278"/>
      <c r="D391" s="8"/>
      <c r="E391" s="27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278"/>
      <c r="C392" s="278"/>
      <c r="D392" s="8"/>
      <c r="E392" s="27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278"/>
      <c r="C393" s="278"/>
      <c r="D393" s="8"/>
      <c r="E393" s="27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278"/>
      <c r="C394" s="278"/>
      <c r="D394" s="8"/>
      <c r="E394" s="27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278"/>
      <c r="C395" s="278"/>
      <c r="D395" s="8"/>
      <c r="E395" s="27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278"/>
      <c r="C396" s="278"/>
      <c r="D396" s="8"/>
      <c r="E396" s="27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278"/>
      <c r="C397" s="278"/>
      <c r="D397" s="8"/>
      <c r="E397" s="27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278"/>
      <c r="C398" s="278"/>
      <c r="D398" s="8"/>
      <c r="E398" s="27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278"/>
      <c r="C399" s="278"/>
      <c r="D399" s="8"/>
      <c r="E399" s="27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278"/>
      <c r="C400" s="278"/>
      <c r="D400" s="8"/>
      <c r="E400" s="27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278"/>
      <c r="C401" s="278"/>
      <c r="D401" s="8"/>
      <c r="E401" s="27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278"/>
      <c r="C402" s="278"/>
      <c r="D402" s="8"/>
      <c r="E402" s="27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278"/>
      <c r="C403" s="278"/>
      <c r="D403" s="8"/>
      <c r="E403" s="27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278"/>
      <c r="C404" s="278"/>
      <c r="D404" s="8"/>
      <c r="E404" s="27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278"/>
      <c r="C405" s="278"/>
      <c r="D405" s="8"/>
      <c r="E405" s="27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278"/>
      <c r="C406" s="278"/>
      <c r="D406" s="8"/>
      <c r="E406" s="27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278"/>
      <c r="C407" s="278"/>
      <c r="D407" s="8"/>
      <c r="E407" s="27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278"/>
      <c r="C408" s="278"/>
      <c r="D408" s="8"/>
      <c r="E408" s="27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278"/>
      <c r="C409" s="278"/>
      <c r="D409" s="8"/>
      <c r="E409" s="27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278"/>
      <c r="C410" s="278"/>
      <c r="D410" s="8"/>
      <c r="E410" s="27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278"/>
      <c r="C411" s="278"/>
      <c r="D411" s="8"/>
      <c r="E411" s="27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278"/>
      <c r="C412" s="278"/>
      <c r="D412" s="8"/>
      <c r="E412" s="27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278"/>
      <c r="C413" s="278"/>
      <c r="D413" s="8"/>
      <c r="E413" s="27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278"/>
      <c r="C414" s="278"/>
      <c r="D414" s="8"/>
      <c r="E414" s="27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278"/>
      <c r="C415" s="278"/>
      <c r="D415" s="8"/>
      <c r="E415" s="27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278"/>
      <c r="C416" s="278"/>
      <c r="D416" s="8"/>
      <c r="E416" s="27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278"/>
      <c r="C417" s="278"/>
      <c r="D417" s="8"/>
      <c r="E417" s="27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278"/>
      <c r="C418" s="278"/>
      <c r="D418" s="8"/>
      <c r="E418" s="27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278"/>
      <c r="C419" s="278"/>
      <c r="D419" s="8"/>
      <c r="E419" s="27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278"/>
      <c r="C420" s="278"/>
      <c r="D420" s="8"/>
      <c r="E420" s="27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278"/>
      <c r="C421" s="278"/>
      <c r="D421" s="8"/>
      <c r="E421" s="27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278"/>
      <c r="C422" s="278"/>
      <c r="D422" s="8"/>
      <c r="E422" s="27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278"/>
      <c r="C423" s="278"/>
      <c r="D423" s="8"/>
      <c r="E423" s="27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278"/>
      <c r="C424" s="278"/>
      <c r="D424" s="8"/>
      <c r="E424" s="27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278"/>
      <c r="C425" s="278"/>
      <c r="D425" s="8"/>
      <c r="E425" s="27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278"/>
      <c r="C426" s="278"/>
      <c r="D426" s="8"/>
      <c r="E426" s="27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278"/>
      <c r="C427" s="278"/>
      <c r="D427" s="8"/>
      <c r="E427" s="27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278"/>
      <c r="C428" s="278"/>
      <c r="D428" s="8"/>
      <c r="E428" s="27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278"/>
      <c r="C429" s="278"/>
      <c r="D429" s="8"/>
      <c r="E429" s="27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278"/>
      <c r="C430" s="278"/>
      <c r="D430" s="8"/>
      <c r="E430" s="27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278"/>
      <c r="C431" s="278"/>
      <c r="D431" s="8"/>
      <c r="E431" s="27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278"/>
      <c r="C432" s="278"/>
      <c r="D432" s="8"/>
      <c r="E432" s="27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278"/>
      <c r="C433" s="278"/>
      <c r="D433" s="8"/>
      <c r="E433" s="27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278"/>
      <c r="C434" s="278"/>
      <c r="D434" s="8"/>
      <c r="E434" s="27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278"/>
      <c r="C435" s="278"/>
      <c r="D435" s="8"/>
      <c r="E435" s="27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278"/>
      <c r="C436" s="278"/>
      <c r="D436" s="8"/>
      <c r="E436" s="27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278"/>
      <c r="C437" s="278"/>
      <c r="D437" s="8"/>
      <c r="E437" s="27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278"/>
      <c r="C438" s="278"/>
      <c r="D438" s="8"/>
      <c r="E438" s="27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278"/>
      <c r="C439" s="278"/>
      <c r="D439" s="8"/>
      <c r="E439" s="27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278"/>
      <c r="C440" s="278"/>
      <c r="D440" s="8"/>
      <c r="E440" s="27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278"/>
      <c r="C441" s="278"/>
      <c r="D441" s="8"/>
      <c r="E441" s="27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278"/>
      <c r="C442" s="278"/>
      <c r="D442" s="8"/>
      <c r="E442" s="27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278"/>
      <c r="C443" s="278"/>
      <c r="D443" s="8"/>
      <c r="E443" s="27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278"/>
      <c r="C444" s="278"/>
      <c r="D444" s="8"/>
      <c r="E444" s="27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278"/>
      <c r="C445" s="278"/>
      <c r="D445" s="8"/>
      <c r="E445" s="27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278"/>
      <c r="C446" s="278"/>
      <c r="D446" s="8"/>
      <c r="E446" s="27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278"/>
      <c r="C447" s="278"/>
      <c r="D447" s="8"/>
      <c r="E447" s="27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278"/>
      <c r="C448" s="278"/>
      <c r="D448" s="8"/>
      <c r="E448" s="27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278"/>
      <c r="C449" s="278"/>
      <c r="D449" s="8"/>
      <c r="E449" s="27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278"/>
      <c r="C450" s="278"/>
      <c r="D450" s="8"/>
      <c r="E450" s="27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278"/>
      <c r="C451" s="278"/>
      <c r="D451" s="8"/>
      <c r="E451" s="27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278"/>
      <c r="C452" s="278"/>
      <c r="D452" s="8"/>
      <c r="E452" s="27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278"/>
      <c r="C453" s="278"/>
      <c r="D453" s="8"/>
      <c r="E453" s="27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278"/>
      <c r="C454" s="278"/>
      <c r="D454" s="8"/>
      <c r="E454" s="27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278"/>
      <c r="C455" s="278"/>
      <c r="D455" s="8"/>
      <c r="E455" s="27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278"/>
      <c r="C456" s="278"/>
      <c r="D456" s="8"/>
      <c r="E456" s="27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278"/>
      <c r="C457" s="278"/>
      <c r="D457" s="8"/>
      <c r="E457" s="27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278"/>
      <c r="C458" s="278"/>
      <c r="D458" s="8"/>
      <c r="E458" s="27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278"/>
      <c r="C459" s="278"/>
      <c r="D459" s="8"/>
      <c r="E459" s="27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278"/>
      <c r="C460" s="278"/>
      <c r="D460" s="8"/>
      <c r="E460" s="27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278"/>
      <c r="C461" s="278"/>
      <c r="D461" s="8"/>
      <c r="E461" s="27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278"/>
      <c r="C462" s="278"/>
      <c r="D462" s="8"/>
      <c r="E462" s="27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278"/>
      <c r="C463" s="278"/>
      <c r="D463" s="8"/>
      <c r="E463" s="27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278"/>
      <c r="C464" s="278"/>
      <c r="D464" s="8"/>
      <c r="E464" s="27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278"/>
      <c r="C465" s="278"/>
      <c r="D465" s="8"/>
      <c r="E465" s="27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278"/>
      <c r="C466" s="278"/>
      <c r="D466" s="8"/>
      <c r="E466" s="27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278"/>
      <c r="C467" s="278"/>
      <c r="D467" s="8"/>
      <c r="E467" s="27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278"/>
      <c r="C468" s="278"/>
      <c r="D468" s="8"/>
      <c r="E468" s="27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278"/>
      <c r="C469" s="278"/>
      <c r="D469" s="8"/>
      <c r="E469" s="27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278"/>
      <c r="C470" s="278"/>
      <c r="D470" s="8"/>
      <c r="E470" s="27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278"/>
      <c r="C471" s="278"/>
      <c r="D471" s="8"/>
      <c r="E471" s="27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278"/>
      <c r="C472" s="278"/>
      <c r="D472" s="8"/>
      <c r="E472" s="27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278"/>
      <c r="C473" s="278"/>
      <c r="D473" s="8"/>
      <c r="E473" s="27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278"/>
      <c r="C474" s="278"/>
      <c r="D474" s="8"/>
      <c r="E474" s="27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278"/>
      <c r="C475" s="278"/>
      <c r="D475" s="8"/>
      <c r="E475" s="27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278"/>
      <c r="C476" s="278"/>
      <c r="D476" s="8"/>
      <c r="E476" s="27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278"/>
      <c r="C477" s="278"/>
      <c r="D477" s="8"/>
      <c r="E477" s="27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278"/>
      <c r="C478" s="278"/>
      <c r="D478" s="8"/>
      <c r="E478" s="27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278"/>
      <c r="C479" s="278"/>
      <c r="D479" s="8"/>
      <c r="E479" s="27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278"/>
      <c r="C480" s="278"/>
      <c r="D480" s="8"/>
      <c r="E480" s="27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278"/>
      <c r="C481" s="278"/>
      <c r="D481" s="8"/>
      <c r="E481" s="27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278"/>
      <c r="C482" s="278"/>
      <c r="D482" s="8"/>
      <c r="E482" s="27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278"/>
      <c r="C483" s="278"/>
      <c r="D483" s="8"/>
      <c r="E483" s="27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278"/>
      <c r="C484" s="278"/>
      <c r="D484" s="8"/>
      <c r="E484" s="27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278"/>
      <c r="C485" s="278"/>
      <c r="D485" s="8"/>
      <c r="E485" s="27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278"/>
      <c r="C486" s="278"/>
      <c r="D486" s="8"/>
      <c r="E486" s="27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278"/>
      <c r="C487" s="278"/>
      <c r="D487" s="8"/>
      <c r="E487" s="27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278"/>
      <c r="C488" s="278"/>
      <c r="D488" s="8"/>
      <c r="E488" s="27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278"/>
      <c r="C489" s="278"/>
      <c r="D489" s="8"/>
      <c r="E489" s="27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278"/>
      <c r="C490" s="278"/>
      <c r="D490" s="8"/>
      <c r="E490" s="27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278"/>
      <c r="C491" s="278"/>
      <c r="D491" s="8"/>
      <c r="E491" s="27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278"/>
      <c r="C492" s="278"/>
      <c r="D492" s="8"/>
      <c r="E492" s="27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278"/>
      <c r="C493" s="278"/>
      <c r="D493" s="8"/>
      <c r="E493" s="27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278"/>
      <c r="C494" s="278"/>
      <c r="D494" s="8"/>
      <c r="E494" s="27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278"/>
      <c r="C495" s="278"/>
      <c r="D495" s="8"/>
      <c r="E495" s="27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278"/>
      <c r="C496" s="278"/>
      <c r="D496" s="8"/>
      <c r="E496" s="27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278"/>
      <c r="C497" s="278"/>
      <c r="D497" s="8"/>
      <c r="E497" s="27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278"/>
      <c r="C498" s="278"/>
      <c r="D498" s="8"/>
      <c r="E498" s="27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278"/>
      <c r="C499" s="278"/>
      <c r="D499" s="8"/>
      <c r="E499" s="27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278"/>
      <c r="C500" s="278"/>
      <c r="D500" s="8"/>
      <c r="E500" s="27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278"/>
      <c r="C501" s="278"/>
      <c r="D501" s="8"/>
      <c r="E501" s="27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278"/>
      <c r="C502" s="278"/>
      <c r="D502" s="8"/>
      <c r="E502" s="27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278"/>
      <c r="C503" s="278"/>
      <c r="D503" s="8"/>
      <c r="E503" s="27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278"/>
      <c r="C504" s="278"/>
      <c r="D504" s="8"/>
      <c r="E504" s="27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278"/>
      <c r="C505" s="278"/>
      <c r="D505" s="8"/>
      <c r="E505" s="27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278"/>
      <c r="C506" s="278"/>
      <c r="D506" s="8"/>
      <c r="E506" s="27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278"/>
      <c r="C507" s="278"/>
      <c r="D507" s="8"/>
      <c r="E507" s="27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278"/>
      <c r="C508" s="278"/>
      <c r="D508" s="8"/>
      <c r="E508" s="27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278"/>
      <c r="C509" s="278"/>
      <c r="D509" s="8"/>
      <c r="E509" s="27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278"/>
      <c r="C510" s="278"/>
      <c r="D510" s="8"/>
      <c r="E510" s="27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278"/>
      <c r="C511" s="278"/>
      <c r="D511" s="8"/>
      <c r="E511" s="27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278"/>
      <c r="C512" s="278"/>
      <c r="D512" s="8"/>
      <c r="E512" s="27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278"/>
      <c r="C513" s="278"/>
      <c r="D513" s="8"/>
      <c r="E513" s="27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278"/>
      <c r="C514" s="278"/>
      <c r="D514" s="8"/>
      <c r="E514" s="27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278"/>
      <c r="C515" s="278"/>
      <c r="D515" s="8"/>
      <c r="E515" s="27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278"/>
      <c r="C516" s="278"/>
      <c r="D516" s="8"/>
      <c r="E516" s="27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278"/>
      <c r="C517" s="278"/>
      <c r="D517" s="8"/>
      <c r="E517" s="27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278"/>
      <c r="C518" s="278"/>
      <c r="D518" s="8"/>
      <c r="E518" s="27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278"/>
      <c r="C519" s="278"/>
      <c r="D519" s="8"/>
      <c r="E519" s="27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278"/>
      <c r="C520" s="278"/>
      <c r="D520" s="8"/>
      <c r="E520" s="27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278"/>
      <c r="C521" s="278"/>
      <c r="D521" s="8"/>
      <c r="E521" s="27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278"/>
      <c r="C522" s="278"/>
      <c r="D522" s="8"/>
      <c r="E522" s="27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278"/>
      <c r="C523" s="278"/>
      <c r="D523" s="8"/>
      <c r="E523" s="27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278"/>
      <c r="C524" s="278"/>
      <c r="D524" s="8"/>
      <c r="E524" s="27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278"/>
      <c r="C525" s="278"/>
      <c r="D525" s="8"/>
      <c r="E525" s="27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278"/>
      <c r="C526" s="278"/>
      <c r="D526" s="8"/>
      <c r="E526" s="27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278"/>
      <c r="C527" s="278"/>
      <c r="D527" s="8"/>
      <c r="E527" s="27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278"/>
      <c r="C528" s="278"/>
      <c r="D528" s="8"/>
      <c r="E528" s="27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278"/>
      <c r="C529" s="278"/>
      <c r="D529" s="8"/>
      <c r="E529" s="27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278"/>
      <c r="C530" s="278"/>
      <c r="D530" s="8"/>
      <c r="E530" s="27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278"/>
      <c r="C531" s="278"/>
      <c r="D531" s="8"/>
      <c r="E531" s="27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278"/>
      <c r="C532" s="278"/>
      <c r="D532" s="8"/>
      <c r="E532" s="27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278"/>
      <c r="C533" s="278"/>
      <c r="D533" s="8"/>
      <c r="E533" s="27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278"/>
      <c r="C534" s="278"/>
      <c r="D534" s="8"/>
      <c r="E534" s="27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278"/>
      <c r="C535" s="278"/>
      <c r="D535" s="8"/>
      <c r="E535" s="27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278"/>
      <c r="C536" s="278"/>
      <c r="D536" s="8"/>
      <c r="E536" s="27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278"/>
      <c r="C537" s="278"/>
      <c r="D537" s="8"/>
      <c r="E537" s="27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278"/>
      <c r="C538" s="278"/>
      <c r="D538" s="8"/>
      <c r="E538" s="27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278"/>
      <c r="C539" s="278"/>
      <c r="D539" s="8"/>
      <c r="E539" s="27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278"/>
      <c r="C540" s="278"/>
      <c r="D540" s="8"/>
      <c r="E540" s="27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278"/>
      <c r="C541" s="278"/>
      <c r="D541" s="8"/>
      <c r="E541" s="27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278"/>
      <c r="C542" s="278"/>
      <c r="D542" s="8"/>
      <c r="E542" s="27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278"/>
      <c r="C543" s="278"/>
      <c r="D543" s="8"/>
      <c r="E543" s="27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278"/>
      <c r="C544" s="278"/>
      <c r="D544" s="8"/>
      <c r="E544" s="27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278"/>
      <c r="C545" s="278"/>
      <c r="D545" s="8"/>
      <c r="E545" s="27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278"/>
      <c r="C546" s="278"/>
      <c r="D546" s="8"/>
      <c r="E546" s="27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278"/>
      <c r="C547" s="278"/>
      <c r="D547" s="8"/>
      <c r="E547" s="27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278"/>
      <c r="C548" s="278"/>
      <c r="D548" s="8"/>
      <c r="E548" s="27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278"/>
      <c r="C549" s="278"/>
      <c r="D549" s="8"/>
      <c r="E549" s="27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278"/>
      <c r="C550" s="278"/>
      <c r="D550" s="8"/>
      <c r="E550" s="27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278"/>
      <c r="C551" s="278"/>
      <c r="D551" s="8"/>
      <c r="E551" s="27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278"/>
      <c r="C552" s="278"/>
      <c r="D552" s="8"/>
      <c r="E552" s="27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278"/>
      <c r="C553" s="278"/>
      <c r="D553" s="8"/>
      <c r="E553" s="27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278"/>
      <c r="C554" s="278"/>
      <c r="D554" s="8"/>
      <c r="E554" s="27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278"/>
      <c r="C555" s="278"/>
      <c r="D555" s="8"/>
      <c r="E555" s="27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278"/>
      <c r="C556" s="278"/>
      <c r="D556" s="8"/>
      <c r="E556" s="27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278"/>
      <c r="C557" s="278"/>
      <c r="D557" s="8"/>
      <c r="E557" s="27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278"/>
      <c r="C558" s="278"/>
      <c r="D558" s="8"/>
      <c r="E558" s="27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278"/>
      <c r="C559" s="278"/>
      <c r="D559" s="8"/>
      <c r="E559" s="27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278"/>
      <c r="C560" s="278"/>
      <c r="D560" s="8"/>
      <c r="E560" s="27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278"/>
      <c r="C561" s="278"/>
      <c r="D561" s="8"/>
      <c r="E561" s="27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278"/>
      <c r="C562" s="278"/>
      <c r="D562" s="8"/>
      <c r="E562" s="27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278"/>
      <c r="C563" s="278"/>
      <c r="D563" s="8"/>
      <c r="E563" s="27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278"/>
      <c r="C564" s="278"/>
      <c r="D564" s="8"/>
      <c r="E564" s="27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278"/>
      <c r="C565" s="278"/>
      <c r="D565" s="8"/>
      <c r="E565" s="27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278"/>
      <c r="C566" s="278"/>
      <c r="D566" s="8"/>
      <c r="E566" s="27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278"/>
      <c r="C567" s="278"/>
      <c r="D567" s="8"/>
      <c r="E567" s="27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278"/>
      <c r="C568" s="278"/>
      <c r="D568" s="8"/>
      <c r="E568" s="27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278"/>
      <c r="C569" s="278"/>
      <c r="D569" s="8"/>
      <c r="E569" s="27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278"/>
      <c r="C570" s="278"/>
      <c r="D570" s="8"/>
      <c r="E570" s="27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278"/>
      <c r="C571" s="278"/>
      <c r="D571" s="8"/>
      <c r="E571" s="27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278"/>
      <c r="C572" s="278"/>
      <c r="D572" s="8"/>
      <c r="E572" s="27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278"/>
      <c r="C573" s="278"/>
      <c r="D573" s="8"/>
      <c r="E573" s="27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278"/>
      <c r="C574" s="278"/>
      <c r="D574" s="8"/>
      <c r="E574" s="27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278"/>
      <c r="C575" s="278"/>
      <c r="D575" s="8"/>
      <c r="E575" s="27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278"/>
      <c r="C576" s="278"/>
      <c r="D576" s="8"/>
      <c r="E576" s="27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278"/>
      <c r="C577" s="278"/>
      <c r="D577" s="8"/>
      <c r="E577" s="27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278"/>
      <c r="C578" s="278"/>
      <c r="D578" s="8"/>
      <c r="E578" s="27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278"/>
      <c r="C579" s="278"/>
      <c r="D579" s="8"/>
      <c r="E579" s="27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278"/>
      <c r="C580" s="278"/>
      <c r="D580" s="8"/>
      <c r="E580" s="27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278"/>
      <c r="C581" s="278"/>
      <c r="D581" s="8"/>
      <c r="E581" s="27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278"/>
      <c r="C582" s="278"/>
      <c r="D582" s="8"/>
      <c r="E582" s="27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278"/>
      <c r="C583" s="278"/>
      <c r="D583" s="8"/>
      <c r="E583" s="27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278"/>
      <c r="C584" s="278"/>
      <c r="D584" s="8"/>
      <c r="E584" s="27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278"/>
      <c r="C585" s="278"/>
      <c r="D585" s="8"/>
      <c r="E585" s="27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278"/>
      <c r="C586" s="278"/>
      <c r="D586" s="8"/>
      <c r="E586" s="27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278"/>
      <c r="C587" s="278"/>
      <c r="D587" s="8"/>
      <c r="E587" s="27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278"/>
      <c r="C588" s="278"/>
      <c r="D588" s="8"/>
      <c r="E588" s="27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278"/>
      <c r="C589" s="278"/>
      <c r="D589" s="8"/>
      <c r="E589" s="27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278"/>
      <c r="C590" s="278"/>
      <c r="D590" s="8"/>
      <c r="E590" s="27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278"/>
      <c r="C591" s="278"/>
      <c r="D591" s="8"/>
      <c r="E591" s="27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278"/>
      <c r="C592" s="278"/>
      <c r="D592" s="8"/>
      <c r="E592" s="27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278"/>
      <c r="C593" s="278"/>
      <c r="D593" s="8"/>
      <c r="E593" s="27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278"/>
      <c r="C594" s="278"/>
      <c r="D594" s="8"/>
      <c r="E594" s="27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278"/>
      <c r="C595" s="278"/>
      <c r="D595" s="8"/>
      <c r="E595" s="27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278"/>
      <c r="C596" s="278"/>
      <c r="D596" s="8"/>
      <c r="E596" s="27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278"/>
      <c r="C597" s="278"/>
      <c r="D597" s="8"/>
      <c r="E597" s="27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278"/>
      <c r="C598" s="278"/>
      <c r="D598" s="8"/>
      <c r="E598" s="27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278"/>
      <c r="C599" s="278"/>
      <c r="D599" s="8"/>
      <c r="E599" s="27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278"/>
      <c r="C600" s="278"/>
      <c r="D600" s="8"/>
      <c r="E600" s="27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278"/>
      <c r="C601" s="278"/>
      <c r="D601" s="8"/>
      <c r="E601" s="27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278"/>
      <c r="C602" s="278"/>
      <c r="D602" s="8"/>
      <c r="E602" s="27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278"/>
      <c r="C603" s="278"/>
      <c r="D603" s="8"/>
      <c r="E603" s="27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278"/>
      <c r="C604" s="278"/>
      <c r="D604" s="8"/>
      <c r="E604" s="27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278"/>
      <c r="C605" s="278"/>
      <c r="D605" s="8"/>
      <c r="E605" s="27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278"/>
      <c r="C606" s="278"/>
      <c r="D606" s="8"/>
      <c r="E606" s="27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278"/>
      <c r="C607" s="278"/>
      <c r="D607" s="8"/>
      <c r="E607" s="27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278"/>
      <c r="C608" s="278"/>
      <c r="D608" s="8"/>
      <c r="E608" s="27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278"/>
      <c r="C609" s="278"/>
      <c r="D609" s="8"/>
      <c r="E609" s="27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278"/>
      <c r="C610" s="278"/>
      <c r="D610" s="8"/>
      <c r="E610" s="27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278"/>
      <c r="C611" s="278"/>
      <c r="D611" s="8"/>
      <c r="E611" s="27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278"/>
      <c r="C612" s="278"/>
      <c r="D612" s="8"/>
      <c r="E612" s="27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278"/>
      <c r="C613" s="278"/>
      <c r="D613" s="8"/>
      <c r="E613" s="27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278"/>
      <c r="C614" s="278"/>
      <c r="D614" s="8"/>
      <c r="E614" s="27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278"/>
      <c r="C615" s="278"/>
      <c r="D615" s="8"/>
      <c r="E615" s="27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278"/>
      <c r="C616" s="278"/>
      <c r="D616" s="8"/>
      <c r="E616" s="27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278"/>
      <c r="C617" s="278"/>
      <c r="D617" s="8"/>
      <c r="E617" s="27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278"/>
      <c r="C618" s="278"/>
      <c r="D618" s="8"/>
      <c r="E618" s="27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278"/>
      <c r="C619" s="278"/>
      <c r="D619" s="8"/>
      <c r="E619" s="27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278"/>
      <c r="C620" s="278"/>
      <c r="D620" s="8"/>
      <c r="E620" s="27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278"/>
      <c r="C621" s="278"/>
      <c r="D621" s="8"/>
      <c r="E621" s="27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278"/>
      <c r="C622" s="278"/>
      <c r="D622" s="8"/>
      <c r="E622" s="27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278"/>
      <c r="C623" s="278"/>
      <c r="D623" s="8"/>
      <c r="E623" s="27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278"/>
      <c r="C624" s="278"/>
      <c r="D624" s="8"/>
      <c r="E624" s="27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278"/>
      <c r="C625" s="278"/>
      <c r="D625" s="8"/>
      <c r="E625" s="27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278"/>
      <c r="C626" s="278"/>
      <c r="D626" s="8"/>
      <c r="E626" s="27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278"/>
      <c r="C627" s="278"/>
      <c r="D627" s="8"/>
      <c r="E627" s="27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278"/>
      <c r="C628" s="278"/>
      <c r="D628" s="8"/>
      <c r="E628" s="27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278"/>
      <c r="C629" s="278"/>
      <c r="D629" s="8"/>
      <c r="E629" s="27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278"/>
      <c r="C630" s="278"/>
      <c r="D630" s="8"/>
      <c r="E630" s="27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278"/>
      <c r="C631" s="278"/>
      <c r="D631" s="8"/>
      <c r="E631" s="27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278"/>
      <c r="C632" s="278"/>
      <c r="D632" s="8"/>
      <c r="E632" s="27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278"/>
      <c r="C633" s="278"/>
      <c r="D633" s="8"/>
      <c r="E633" s="27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278"/>
      <c r="C634" s="278"/>
      <c r="D634" s="8"/>
      <c r="E634" s="27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278"/>
      <c r="C635" s="278"/>
      <c r="D635" s="8"/>
      <c r="E635" s="27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278"/>
      <c r="C636" s="278"/>
      <c r="D636" s="8"/>
      <c r="E636" s="27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278"/>
      <c r="C637" s="278"/>
      <c r="D637" s="8"/>
      <c r="E637" s="27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278"/>
      <c r="C638" s="278"/>
      <c r="D638" s="8"/>
      <c r="E638" s="27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278"/>
      <c r="C639" s="278"/>
      <c r="D639" s="8"/>
      <c r="E639" s="27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278"/>
      <c r="C640" s="278"/>
      <c r="D640" s="8"/>
      <c r="E640" s="27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278"/>
      <c r="C641" s="278"/>
      <c r="D641" s="8"/>
      <c r="E641" s="27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278"/>
      <c r="C642" s="278"/>
      <c r="D642" s="8"/>
      <c r="E642" s="27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278"/>
      <c r="C643" s="278"/>
      <c r="D643" s="8"/>
      <c r="E643" s="27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278"/>
      <c r="C644" s="278"/>
      <c r="D644" s="8"/>
      <c r="E644" s="27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278"/>
      <c r="C645" s="278"/>
      <c r="D645" s="8"/>
      <c r="E645" s="27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278"/>
      <c r="C646" s="278"/>
      <c r="D646" s="8"/>
      <c r="E646" s="27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278"/>
      <c r="C647" s="278"/>
      <c r="D647" s="8"/>
      <c r="E647" s="27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278"/>
      <c r="C648" s="278"/>
      <c r="D648" s="8"/>
      <c r="E648" s="27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278"/>
      <c r="C649" s="278"/>
      <c r="D649" s="8"/>
      <c r="E649" s="27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278"/>
      <c r="C650" s="278"/>
      <c r="D650" s="8"/>
      <c r="E650" s="27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278"/>
      <c r="C651" s="278"/>
      <c r="D651" s="8"/>
      <c r="E651" s="27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278"/>
      <c r="C652" s="278"/>
      <c r="D652" s="8"/>
      <c r="E652" s="27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278"/>
      <c r="C653" s="278"/>
      <c r="D653" s="8"/>
      <c r="E653" s="27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278"/>
      <c r="C654" s="278"/>
      <c r="D654" s="8"/>
      <c r="E654" s="27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278"/>
      <c r="C655" s="278"/>
      <c r="D655" s="8"/>
      <c r="E655" s="27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278"/>
      <c r="C656" s="278"/>
      <c r="D656" s="8"/>
      <c r="E656" s="27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278"/>
      <c r="C657" s="278"/>
      <c r="D657" s="8"/>
      <c r="E657" s="27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278"/>
      <c r="C658" s="278"/>
      <c r="D658" s="8"/>
      <c r="E658" s="27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278"/>
      <c r="C659" s="278"/>
      <c r="D659" s="8"/>
      <c r="E659" s="27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278"/>
      <c r="C660" s="278"/>
      <c r="D660" s="8"/>
      <c r="E660" s="27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278"/>
      <c r="C661" s="278"/>
      <c r="D661" s="8"/>
      <c r="E661" s="27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278"/>
      <c r="C662" s="278"/>
      <c r="D662" s="8"/>
      <c r="E662" s="27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278"/>
      <c r="C663" s="278"/>
      <c r="D663" s="8"/>
      <c r="E663" s="27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278"/>
      <c r="C664" s="278"/>
      <c r="D664" s="8"/>
      <c r="E664" s="27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278"/>
      <c r="C665" s="278"/>
      <c r="D665" s="8"/>
      <c r="E665" s="27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278"/>
      <c r="C666" s="278"/>
      <c r="D666" s="8"/>
      <c r="E666" s="27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278"/>
      <c r="C667" s="278"/>
      <c r="D667" s="8"/>
      <c r="E667" s="27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278"/>
      <c r="C668" s="278"/>
      <c r="D668" s="8"/>
      <c r="E668" s="27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278"/>
      <c r="C669" s="278"/>
      <c r="D669" s="8"/>
      <c r="E669" s="27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278"/>
      <c r="C670" s="278"/>
      <c r="D670" s="8"/>
      <c r="E670" s="27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278"/>
      <c r="C671" s="278"/>
      <c r="D671" s="8"/>
      <c r="E671" s="27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278"/>
      <c r="C672" s="278"/>
      <c r="D672" s="8"/>
      <c r="E672" s="27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278"/>
      <c r="C673" s="278"/>
      <c r="D673" s="8"/>
      <c r="E673" s="27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278"/>
      <c r="C674" s="278"/>
      <c r="D674" s="8"/>
      <c r="E674" s="27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278"/>
      <c r="C675" s="278"/>
      <c r="D675" s="8"/>
      <c r="E675" s="27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278"/>
      <c r="C676" s="278"/>
      <c r="D676" s="8"/>
      <c r="E676" s="27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278"/>
      <c r="C677" s="278"/>
      <c r="D677" s="8"/>
      <c r="E677" s="27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278"/>
      <c r="C678" s="278"/>
      <c r="D678" s="8"/>
      <c r="E678" s="27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278"/>
      <c r="C679" s="278"/>
      <c r="D679" s="8"/>
      <c r="E679" s="27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278"/>
      <c r="C680" s="278"/>
      <c r="D680" s="8"/>
      <c r="E680" s="27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278"/>
      <c r="C681" s="278"/>
      <c r="D681" s="8"/>
      <c r="E681" s="27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278"/>
      <c r="C682" s="278"/>
      <c r="D682" s="8"/>
      <c r="E682" s="27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278"/>
      <c r="C683" s="278"/>
      <c r="D683" s="8"/>
      <c r="E683" s="27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278"/>
      <c r="C684" s="278"/>
      <c r="D684" s="8"/>
      <c r="E684" s="27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278"/>
      <c r="C685" s="278"/>
      <c r="D685" s="8"/>
      <c r="E685" s="27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278"/>
      <c r="C686" s="278"/>
      <c r="D686" s="8"/>
      <c r="E686" s="27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278"/>
      <c r="C687" s="278"/>
      <c r="D687" s="8"/>
      <c r="E687" s="27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278"/>
      <c r="C688" s="278"/>
      <c r="D688" s="8"/>
      <c r="E688" s="27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278"/>
      <c r="C689" s="278"/>
      <c r="D689" s="8"/>
      <c r="E689" s="27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278"/>
      <c r="C690" s="278"/>
      <c r="D690" s="8"/>
      <c r="E690" s="27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278"/>
      <c r="C691" s="278"/>
      <c r="D691" s="8"/>
      <c r="E691" s="27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278"/>
      <c r="C692" s="278"/>
      <c r="D692" s="8"/>
      <c r="E692" s="27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278"/>
      <c r="C693" s="278"/>
      <c r="D693" s="8"/>
      <c r="E693" s="27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278"/>
      <c r="C694" s="278"/>
      <c r="D694" s="8"/>
      <c r="E694" s="27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278"/>
      <c r="C695" s="278"/>
      <c r="D695" s="8"/>
      <c r="E695" s="27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278"/>
      <c r="C696" s="278"/>
      <c r="D696" s="8"/>
      <c r="E696" s="27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278"/>
      <c r="C697" s="278"/>
      <c r="D697" s="8"/>
      <c r="E697" s="27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278"/>
      <c r="C698" s="278"/>
      <c r="D698" s="8"/>
      <c r="E698" s="27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278"/>
      <c r="C699" s="278"/>
      <c r="D699" s="8"/>
      <c r="E699" s="27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278"/>
      <c r="C700" s="278"/>
      <c r="D700" s="8"/>
      <c r="E700" s="27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278"/>
      <c r="C701" s="278"/>
      <c r="D701" s="8"/>
      <c r="E701" s="27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278"/>
      <c r="C702" s="278"/>
      <c r="D702" s="8"/>
      <c r="E702" s="27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278"/>
      <c r="C703" s="278"/>
      <c r="D703" s="8"/>
      <c r="E703" s="27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278"/>
      <c r="C704" s="278"/>
      <c r="D704" s="8"/>
      <c r="E704" s="27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278"/>
      <c r="C705" s="278"/>
      <c r="D705" s="8"/>
      <c r="E705" s="27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278"/>
      <c r="C706" s="278"/>
      <c r="D706" s="8"/>
      <c r="E706" s="27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278"/>
      <c r="C707" s="278"/>
      <c r="D707" s="8"/>
      <c r="E707" s="27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278"/>
      <c r="C708" s="278"/>
      <c r="D708" s="8"/>
      <c r="E708" s="27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278"/>
      <c r="C709" s="278"/>
      <c r="D709" s="8"/>
      <c r="E709" s="27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278"/>
      <c r="C710" s="278"/>
      <c r="D710" s="8"/>
      <c r="E710" s="27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278"/>
      <c r="C711" s="278"/>
      <c r="D711" s="8"/>
      <c r="E711" s="27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278"/>
      <c r="C712" s="278"/>
      <c r="D712" s="8"/>
      <c r="E712" s="27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278"/>
      <c r="C713" s="278"/>
      <c r="D713" s="8"/>
      <c r="E713" s="27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278"/>
      <c r="C714" s="278"/>
      <c r="D714" s="8"/>
      <c r="E714" s="27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278"/>
      <c r="C715" s="278"/>
      <c r="D715" s="8"/>
      <c r="E715" s="27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278"/>
      <c r="C716" s="278"/>
      <c r="D716" s="8"/>
      <c r="E716" s="27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278"/>
      <c r="C717" s="278"/>
      <c r="D717" s="8"/>
      <c r="E717" s="27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278"/>
      <c r="C718" s="278"/>
      <c r="D718" s="8"/>
      <c r="E718" s="27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278"/>
      <c r="C719" s="278"/>
      <c r="D719" s="8"/>
      <c r="E719" s="27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278"/>
      <c r="C720" s="278"/>
      <c r="D720" s="8"/>
      <c r="E720" s="27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278"/>
      <c r="C721" s="278"/>
      <c r="D721" s="8"/>
      <c r="E721" s="27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278"/>
      <c r="C722" s="278"/>
      <c r="D722" s="8"/>
      <c r="E722" s="27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278"/>
      <c r="C723" s="278"/>
      <c r="D723" s="8"/>
      <c r="E723" s="27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278"/>
      <c r="C724" s="278"/>
      <c r="D724" s="8"/>
      <c r="E724" s="27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278"/>
      <c r="C725" s="278"/>
      <c r="D725" s="8"/>
      <c r="E725" s="27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278"/>
      <c r="C726" s="278"/>
      <c r="D726" s="8"/>
      <c r="E726" s="27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278"/>
      <c r="C727" s="278"/>
      <c r="D727" s="8"/>
      <c r="E727" s="27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278"/>
      <c r="C728" s="278"/>
      <c r="D728" s="8"/>
      <c r="E728" s="27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278"/>
      <c r="C729" s="278"/>
      <c r="D729" s="8"/>
      <c r="E729" s="27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278"/>
      <c r="C730" s="278"/>
      <c r="D730" s="8"/>
      <c r="E730" s="27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278"/>
      <c r="C731" s="278"/>
      <c r="D731" s="8"/>
      <c r="E731" s="27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278"/>
      <c r="C732" s="278"/>
      <c r="D732" s="8"/>
      <c r="E732" s="27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278"/>
      <c r="C733" s="278"/>
      <c r="D733" s="8"/>
      <c r="E733" s="27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278"/>
      <c r="C734" s="278"/>
      <c r="D734" s="8"/>
      <c r="E734" s="27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278"/>
      <c r="C735" s="278"/>
      <c r="D735" s="8"/>
      <c r="E735" s="27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278"/>
      <c r="C736" s="278"/>
      <c r="D736" s="8"/>
      <c r="E736" s="27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278"/>
      <c r="C737" s="278"/>
      <c r="D737" s="8"/>
      <c r="E737" s="27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278"/>
      <c r="C738" s="278"/>
      <c r="D738" s="8"/>
      <c r="E738" s="27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278"/>
      <c r="C739" s="278"/>
      <c r="D739" s="8"/>
      <c r="E739" s="27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278"/>
      <c r="C740" s="278"/>
      <c r="D740" s="8"/>
      <c r="E740" s="27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278"/>
      <c r="C741" s="278"/>
      <c r="D741" s="8"/>
      <c r="E741" s="27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278"/>
      <c r="C742" s="278"/>
      <c r="D742" s="8"/>
      <c r="E742" s="27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278"/>
      <c r="C743" s="278"/>
      <c r="D743" s="8"/>
      <c r="E743" s="27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278"/>
      <c r="C744" s="278"/>
      <c r="D744" s="8"/>
      <c r="E744" s="27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278"/>
      <c r="C745" s="278"/>
      <c r="D745" s="8"/>
      <c r="E745" s="27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278"/>
      <c r="C746" s="278"/>
      <c r="D746" s="8"/>
      <c r="E746" s="27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278"/>
      <c r="C747" s="278"/>
      <c r="D747" s="8"/>
      <c r="E747" s="27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278"/>
      <c r="C748" s="278"/>
      <c r="D748" s="8"/>
      <c r="E748" s="27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278"/>
      <c r="C749" s="278"/>
      <c r="D749" s="8"/>
      <c r="E749" s="27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278"/>
      <c r="C750" s="278"/>
      <c r="D750" s="8"/>
      <c r="E750" s="27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278"/>
      <c r="C751" s="278"/>
      <c r="D751" s="8"/>
      <c r="E751" s="27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278"/>
      <c r="C752" s="278"/>
      <c r="D752" s="8"/>
      <c r="E752" s="27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278"/>
      <c r="C753" s="278"/>
      <c r="D753" s="8"/>
      <c r="E753" s="27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278"/>
      <c r="C754" s="278"/>
      <c r="D754" s="8"/>
      <c r="E754" s="27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278"/>
      <c r="C755" s="278"/>
      <c r="D755" s="8"/>
      <c r="E755" s="27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278"/>
      <c r="C756" s="278"/>
      <c r="D756" s="8"/>
      <c r="E756" s="27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278"/>
      <c r="C757" s="278"/>
      <c r="D757" s="8"/>
      <c r="E757" s="27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278"/>
      <c r="C758" s="278"/>
      <c r="D758" s="8"/>
      <c r="E758" s="27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278"/>
      <c r="C759" s="278"/>
      <c r="D759" s="8"/>
      <c r="E759" s="27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278"/>
      <c r="C760" s="278"/>
      <c r="D760" s="8"/>
      <c r="E760" s="27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278"/>
      <c r="C761" s="278"/>
      <c r="D761" s="8"/>
      <c r="E761" s="27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278"/>
      <c r="C762" s="278"/>
      <c r="D762" s="8"/>
      <c r="E762" s="27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278"/>
      <c r="C763" s="278"/>
      <c r="D763" s="8"/>
      <c r="E763" s="27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278"/>
      <c r="C764" s="278"/>
      <c r="D764" s="8"/>
      <c r="E764" s="27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278"/>
      <c r="C765" s="278"/>
      <c r="D765" s="8"/>
      <c r="E765" s="27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278"/>
      <c r="C766" s="278"/>
      <c r="D766" s="8"/>
      <c r="E766" s="27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278"/>
      <c r="C767" s="278"/>
      <c r="D767" s="8"/>
      <c r="E767" s="27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278"/>
      <c r="C768" s="278"/>
      <c r="D768" s="8"/>
      <c r="E768" s="27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278"/>
      <c r="C769" s="278"/>
      <c r="D769" s="8"/>
      <c r="E769" s="27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278"/>
      <c r="C770" s="278"/>
      <c r="D770" s="8"/>
      <c r="E770" s="27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278"/>
      <c r="C771" s="278"/>
      <c r="D771" s="8"/>
      <c r="E771" s="27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278"/>
      <c r="C772" s="278"/>
      <c r="D772" s="8"/>
      <c r="E772" s="27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278"/>
      <c r="C773" s="278"/>
      <c r="D773" s="8"/>
      <c r="E773" s="27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278"/>
      <c r="C774" s="278"/>
      <c r="D774" s="8"/>
      <c r="E774" s="27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278"/>
      <c r="C775" s="278"/>
      <c r="D775" s="8"/>
      <c r="E775" s="27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278"/>
      <c r="C776" s="278"/>
      <c r="D776" s="8"/>
      <c r="E776" s="27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278"/>
      <c r="C777" s="278"/>
      <c r="D777" s="8"/>
      <c r="E777" s="27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278"/>
      <c r="C778" s="278"/>
      <c r="D778" s="8"/>
      <c r="E778" s="27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278"/>
      <c r="C779" s="278"/>
      <c r="D779" s="8"/>
      <c r="E779" s="27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278"/>
      <c r="C780" s="278"/>
      <c r="D780" s="8"/>
      <c r="E780" s="27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278"/>
      <c r="C781" s="278"/>
      <c r="D781" s="8"/>
      <c r="E781" s="27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278"/>
      <c r="C782" s="278"/>
      <c r="D782" s="8"/>
      <c r="E782" s="27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278"/>
      <c r="C783" s="278"/>
      <c r="D783" s="8"/>
      <c r="E783" s="27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278"/>
      <c r="C784" s="278"/>
      <c r="D784" s="8"/>
      <c r="E784" s="27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278"/>
      <c r="C785" s="278"/>
      <c r="D785" s="8"/>
      <c r="E785" s="27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278"/>
      <c r="C786" s="278"/>
      <c r="D786" s="8"/>
      <c r="E786" s="27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278"/>
      <c r="C787" s="278"/>
      <c r="D787" s="8"/>
      <c r="E787" s="27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278"/>
      <c r="C788" s="278"/>
      <c r="D788" s="8"/>
      <c r="E788" s="27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278"/>
      <c r="C789" s="278"/>
      <c r="D789" s="8"/>
      <c r="E789" s="27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278"/>
      <c r="C790" s="278"/>
      <c r="D790" s="8"/>
      <c r="E790" s="27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278"/>
      <c r="C791" s="278"/>
      <c r="D791" s="8"/>
      <c r="E791" s="27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278"/>
      <c r="C792" s="278"/>
      <c r="D792" s="8"/>
      <c r="E792" s="27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278"/>
      <c r="C793" s="278"/>
      <c r="D793" s="8"/>
      <c r="E793" s="27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278"/>
      <c r="C794" s="278"/>
      <c r="D794" s="8"/>
      <c r="E794" s="27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278"/>
      <c r="C795" s="278"/>
      <c r="D795" s="8"/>
      <c r="E795" s="27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278"/>
      <c r="C796" s="278"/>
      <c r="D796" s="8"/>
      <c r="E796" s="27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278"/>
      <c r="C797" s="278"/>
      <c r="D797" s="8"/>
      <c r="E797" s="27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278"/>
      <c r="C798" s="278"/>
      <c r="D798" s="8"/>
      <c r="E798" s="27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278"/>
      <c r="C799" s="278"/>
      <c r="D799" s="8"/>
      <c r="E799" s="27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278"/>
      <c r="C800" s="278"/>
      <c r="D800" s="8"/>
      <c r="E800" s="27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278"/>
      <c r="C801" s="278"/>
      <c r="D801" s="8"/>
      <c r="E801" s="27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278"/>
      <c r="C802" s="278"/>
      <c r="D802" s="8"/>
      <c r="E802" s="27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278"/>
      <c r="C803" s="278"/>
      <c r="D803" s="8"/>
      <c r="E803" s="27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278"/>
      <c r="C804" s="278"/>
      <c r="D804" s="8"/>
      <c r="E804" s="27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278"/>
      <c r="C805" s="278"/>
      <c r="D805" s="8"/>
      <c r="E805" s="27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278"/>
      <c r="C806" s="278"/>
      <c r="D806" s="8"/>
      <c r="E806" s="27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278"/>
      <c r="C807" s="278"/>
      <c r="D807" s="8"/>
      <c r="E807" s="27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278"/>
      <c r="C808" s="278"/>
      <c r="D808" s="8"/>
      <c r="E808" s="27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278"/>
      <c r="C809" s="278"/>
      <c r="D809" s="8"/>
      <c r="E809" s="27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278"/>
      <c r="C810" s="278"/>
      <c r="D810" s="8"/>
      <c r="E810" s="27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278"/>
      <c r="C811" s="278"/>
      <c r="D811" s="8"/>
      <c r="E811" s="27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278"/>
      <c r="C812" s="278"/>
      <c r="D812" s="8"/>
      <c r="E812" s="27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278"/>
      <c r="C813" s="278"/>
      <c r="D813" s="8"/>
      <c r="E813" s="27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278"/>
      <c r="C814" s="278"/>
      <c r="D814" s="8"/>
      <c r="E814" s="27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278"/>
      <c r="C815" s="278"/>
      <c r="D815" s="8"/>
      <c r="E815" s="27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278"/>
      <c r="C816" s="278"/>
      <c r="D816" s="8"/>
      <c r="E816" s="27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278"/>
      <c r="C817" s="278"/>
      <c r="D817" s="8"/>
      <c r="E817" s="27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278"/>
      <c r="C818" s="278"/>
      <c r="D818" s="8"/>
      <c r="E818" s="27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278"/>
      <c r="C819" s="278"/>
      <c r="D819" s="8"/>
      <c r="E819" s="27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278"/>
      <c r="C820" s="278"/>
      <c r="D820" s="8"/>
      <c r="E820" s="27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278"/>
      <c r="C821" s="278"/>
      <c r="D821" s="8"/>
      <c r="E821" s="27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278"/>
      <c r="C822" s="278"/>
      <c r="D822" s="8"/>
      <c r="E822" s="27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278"/>
      <c r="C823" s="278"/>
      <c r="D823" s="8"/>
      <c r="E823" s="27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278"/>
      <c r="C824" s="278"/>
      <c r="D824" s="8"/>
      <c r="E824" s="27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278"/>
      <c r="C825" s="278"/>
      <c r="D825" s="8"/>
      <c r="E825" s="27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278"/>
      <c r="C826" s="278"/>
      <c r="D826" s="8"/>
      <c r="E826" s="27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278"/>
      <c r="C827" s="278"/>
      <c r="D827" s="8"/>
      <c r="E827" s="27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278"/>
      <c r="C828" s="278"/>
      <c r="D828" s="8"/>
      <c r="E828" s="27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278"/>
      <c r="C829" s="278"/>
      <c r="D829" s="8"/>
      <c r="E829" s="27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278"/>
      <c r="C830" s="278"/>
      <c r="D830" s="8"/>
      <c r="E830" s="27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278"/>
      <c r="C831" s="278"/>
      <c r="D831" s="8"/>
      <c r="E831" s="27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278"/>
      <c r="C832" s="278"/>
      <c r="D832" s="8"/>
      <c r="E832" s="27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278"/>
      <c r="C833" s="278"/>
      <c r="D833" s="8"/>
      <c r="E833" s="27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278"/>
      <c r="C834" s="278"/>
      <c r="D834" s="8"/>
      <c r="E834" s="27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278"/>
      <c r="C835" s="278"/>
      <c r="D835" s="8"/>
      <c r="E835" s="27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278"/>
      <c r="C836" s="278"/>
      <c r="D836" s="8"/>
      <c r="E836" s="27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278"/>
      <c r="C837" s="278"/>
      <c r="D837" s="8"/>
      <c r="E837" s="27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278"/>
      <c r="C838" s="278"/>
      <c r="D838" s="8"/>
      <c r="E838" s="27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278"/>
      <c r="C839" s="278"/>
      <c r="D839" s="8"/>
      <c r="E839" s="27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278"/>
      <c r="C840" s="278"/>
      <c r="D840" s="8"/>
      <c r="E840" s="27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278"/>
      <c r="C841" s="278"/>
      <c r="D841" s="8"/>
      <c r="E841" s="27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278"/>
      <c r="C842" s="278"/>
      <c r="D842" s="8"/>
      <c r="E842" s="27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278"/>
      <c r="C843" s="278"/>
      <c r="D843" s="8"/>
      <c r="E843" s="27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278"/>
      <c r="C844" s="278"/>
      <c r="D844" s="8"/>
      <c r="E844" s="27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278"/>
      <c r="C845" s="278"/>
      <c r="D845" s="8"/>
      <c r="E845" s="27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278"/>
      <c r="C846" s="278"/>
      <c r="D846" s="8"/>
      <c r="E846" s="27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278"/>
      <c r="C847" s="278"/>
      <c r="D847" s="8"/>
      <c r="E847" s="27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278"/>
      <c r="C848" s="278"/>
      <c r="D848" s="8"/>
      <c r="E848" s="27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278"/>
      <c r="C849" s="278"/>
      <c r="D849" s="8"/>
      <c r="E849" s="27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278"/>
      <c r="C850" s="278"/>
      <c r="D850" s="8"/>
      <c r="E850" s="27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278"/>
      <c r="C851" s="278"/>
      <c r="D851" s="8"/>
      <c r="E851" s="27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278"/>
      <c r="C852" s="278"/>
      <c r="D852" s="8"/>
      <c r="E852" s="27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278"/>
      <c r="C853" s="278"/>
      <c r="D853" s="8"/>
      <c r="E853" s="27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278"/>
      <c r="C854" s="278"/>
      <c r="D854" s="8"/>
      <c r="E854" s="27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278"/>
      <c r="C855" s="278"/>
      <c r="D855" s="8"/>
      <c r="E855" s="27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278"/>
      <c r="C856" s="278"/>
      <c r="D856" s="8"/>
      <c r="E856" s="27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278"/>
      <c r="C857" s="278"/>
      <c r="D857" s="8"/>
      <c r="E857" s="27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278"/>
      <c r="C858" s="278"/>
      <c r="D858" s="8"/>
      <c r="E858" s="27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278"/>
      <c r="C859" s="278"/>
      <c r="D859" s="8"/>
      <c r="E859" s="27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278"/>
      <c r="C860" s="278"/>
      <c r="D860" s="8"/>
      <c r="E860" s="27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278"/>
      <c r="C861" s="278"/>
      <c r="D861" s="8"/>
      <c r="E861" s="27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278"/>
      <c r="C862" s="278"/>
      <c r="D862" s="8"/>
      <c r="E862" s="27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278"/>
      <c r="C863" s="278"/>
      <c r="D863" s="8"/>
      <c r="E863" s="27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278"/>
      <c r="C864" s="278"/>
      <c r="D864" s="8"/>
      <c r="E864" s="27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278"/>
      <c r="C865" s="278"/>
      <c r="D865" s="8"/>
      <c r="E865" s="27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278"/>
      <c r="C866" s="278"/>
      <c r="D866" s="8"/>
      <c r="E866" s="27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278"/>
      <c r="C867" s="278"/>
      <c r="D867" s="8"/>
      <c r="E867" s="27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278"/>
      <c r="C868" s="278"/>
      <c r="D868" s="8"/>
      <c r="E868" s="27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278"/>
      <c r="C869" s="278"/>
      <c r="D869" s="8"/>
      <c r="E869" s="27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278"/>
      <c r="C870" s="278"/>
      <c r="D870" s="8"/>
      <c r="E870" s="27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278"/>
      <c r="C871" s="278"/>
      <c r="D871" s="8"/>
      <c r="E871" s="27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278"/>
      <c r="C872" s="278"/>
      <c r="D872" s="8"/>
      <c r="E872" s="27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278"/>
      <c r="C873" s="278"/>
      <c r="D873" s="8"/>
      <c r="E873" s="27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278"/>
      <c r="C874" s="278"/>
      <c r="D874" s="8"/>
      <c r="E874" s="27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278"/>
      <c r="C875" s="278"/>
      <c r="D875" s="8"/>
      <c r="E875" s="27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278"/>
      <c r="C876" s="278"/>
      <c r="D876" s="8"/>
      <c r="E876" s="27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278"/>
      <c r="C877" s="278"/>
      <c r="D877" s="8"/>
      <c r="E877" s="27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278"/>
      <c r="C878" s="278"/>
      <c r="D878" s="8"/>
      <c r="E878" s="27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278"/>
      <c r="C879" s="278"/>
      <c r="D879" s="8"/>
      <c r="E879" s="27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278"/>
      <c r="C880" s="278"/>
      <c r="D880" s="8"/>
      <c r="E880" s="27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278"/>
      <c r="C881" s="278"/>
      <c r="D881" s="8"/>
      <c r="E881" s="27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278"/>
      <c r="C882" s="278"/>
      <c r="D882" s="8"/>
      <c r="E882" s="27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278"/>
      <c r="C883" s="278"/>
      <c r="D883" s="8"/>
      <c r="E883" s="27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278"/>
      <c r="C884" s="278"/>
      <c r="D884" s="8"/>
      <c r="E884" s="27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278"/>
      <c r="C885" s="278"/>
      <c r="D885" s="8"/>
      <c r="E885" s="27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278"/>
      <c r="C886" s="278"/>
      <c r="D886" s="8"/>
      <c r="E886" s="27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278"/>
      <c r="C887" s="278"/>
      <c r="D887" s="8"/>
      <c r="E887" s="27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278"/>
      <c r="C888" s="278"/>
      <c r="D888" s="8"/>
      <c r="E888" s="27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278"/>
      <c r="C889" s="278"/>
      <c r="D889" s="8"/>
      <c r="E889" s="27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278"/>
      <c r="C890" s="278"/>
      <c r="D890" s="8"/>
      <c r="E890" s="27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278"/>
      <c r="C891" s="278"/>
      <c r="D891" s="8"/>
      <c r="E891" s="27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278"/>
      <c r="C892" s="278"/>
      <c r="D892" s="8"/>
      <c r="E892" s="27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278"/>
      <c r="C893" s="278"/>
      <c r="D893" s="8"/>
      <c r="E893" s="27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278"/>
      <c r="C894" s="278"/>
      <c r="D894" s="8"/>
      <c r="E894" s="27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278"/>
      <c r="C895" s="278"/>
      <c r="D895" s="8"/>
      <c r="E895" s="27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278"/>
      <c r="C896" s="278"/>
      <c r="D896" s="8"/>
      <c r="E896" s="27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278"/>
      <c r="C897" s="278"/>
      <c r="D897" s="8"/>
      <c r="E897" s="27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278"/>
      <c r="C898" s="278"/>
      <c r="D898" s="8"/>
      <c r="E898" s="27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278"/>
      <c r="C899" s="278"/>
      <c r="D899" s="8"/>
      <c r="E899" s="27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278"/>
      <c r="C900" s="278"/>
      <c r="D900" s="8"/>
      <c r="E900" s="27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278"/>
      <c r="C901" s="278"/>
      <c r="D901" s="8"/>
      <c r="E901" s="27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278"/>
      <c r="C902" s="278"/>
      <c r="D902" s="8"/>
      <c r="E902" s="27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278"/>
      <c r="C903" s="278"/>
      <c r="D903" s="8"/>
      <c r="E903" s="27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278"/>
      <c r="C904" s="278"/>
      <c r="D904" s="8"/>
      <c r="E904" s="27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278"/>
      <c r="C905" s="278"/>
      <c r="D905" s="8"/>
      <c r="E905" s="27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278"/>
      <c r="C906" s="278"/>
      <c r="D906" s="8"/>
      <c r="E906" s="27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278"/>
      <c r="C907" s="278"/>
      <c r="D907" s="8"/>
      <c r="E907" s="27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278"/>
      <c r="C908" s="278"/>
      <c r="D908" s="8"/>
      <c r="E908" s="27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278"/>
      <c r="C909" s="278"/>
      <c r="D909" s="8"/>
      <c r="E909" s="27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278"/>
      <c r="C910" s="278"/>
      <c r="D910" s="8"/>
      <c r="E910" s="27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278"/>
      <c r="C911" s="278"/>
      <c r="D911" s="8"/>
      <c r="E911" s="27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278"/>
      <c r="C912" s="278"/>
      <c r="D912" s="8"/>
      <c r="E912" s="27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278"/>
      <c r="C913" s="278"/>
      <c r="D913" s="8"/>
      <c r="E913" s="27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278"/>
      <c r="C914" s="278"/>
      <c r="D914" s="8"/>
      <c r="E914" s="27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278"/>
      <c r="C915" s="278"/>
      <c r="D915" s="8"/>
      <c r="E915" s="27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278"/>
      <c r="C916" s="278"/>
      <c r="D916" s="8"/>
      <c r="E916" s="27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278"/>
      <c r="C917" s="278"/>
      <c r="D917" s="8"/>
      <c r="E917" s="27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278"/>
      <c r="C918" s="278"/>
      <c r="D918" s="8"/>
      <c r="E918" s="27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278"/>
      <c r="C919" s="278"/>
      <c r="D919" s="8"/>
      <c r="E919" s="27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278"/>
      <c r="C920" s="278"/>
      <c r="D920" s="8"/>
      <c r="E920" s="27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278"/>
      <c r="C921" s="278"/>
      <c r="D921" s="8"/>
      <c r="E921" s="27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278"/>
      <c r="C922" s="278"/>
      <c r="D922" s="8"/>
      <c r="E922" s="27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278"/>
      <c r="C923" s="278"/>
      <c r="D923" s="8"/>
      <c r="E923" s="27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278"/>
      <c r="C924" s="278"/>
      <c r="D924" s="8"/>
      <c r="E924" s="27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278"/>
      <c r="C925" s="278"/>
      <c r="D925" s="8"/>
      <c r="E925" s="27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278"/>
      <c r="C926" s="278"/>
      <c r="D926" s="8"/>
      <c r="E926" s="27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278"/>
      <c r="C927" s="278"/>
      <c r="D927" s="8"/>
      <c r="E927" s="27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278"/>
      <c r="C928" s="278"/>
      <c r="D928" s="8"/>
      <c r="E928" s="27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278"/>
      <c r="C929" s="278"/>
      <c r="D929" s="8"/>
      <c r="E929" s="27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278"/>
      <c r="C930" s="278"/>
      <c r="D930" s="8"/>
      <c r="E930" s="27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278"/>
      <c r="C931" s="278"/>
      <c r="D931" s="8"/>
      <c r="E931" s="27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278"/>
      <c r="C932" s="278"/>
      <c r="D932" s="8"/>
      <c r="E932" s="27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278"/>
      <c r="C933" s="278"/>
      <c r="D933" s="8"/>
      <c r="E933" s="27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278"/>
      <c r="C934" s="278"/>
      <c r="D934" s="8"/>
      <c r="E934" s="27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278"/>
      <c r="C935" s="278"/>
      <c r="D935" s="8"/>
      <c r="E935" s="27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278"/>
      <c r="C936" s="278"/>
      <c r="D936" s="8"/>
      <c r="E936" s="27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278"/>
      <c r="C937" s="278"/>
      <c r="D937" s="8"/>
      <c r="E937" s="27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278"/>
      <c r="C938" s="278"/>
      <c r="D938" s="8"/>
      <c r="E938" s="27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278"/>
      <c r="C939" s="278"/>
      <c r="D939" s="8"/>
      <c r="E939" s="27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278"/>
      <c r="C940" s="278"/>
      <c r="D940" s="8"/>
      <c r="E940" s="27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278"/>
      <c r="C941" s="278"/>
      <c r="D941" s="8"/>
      <c r="E941" s="27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278"/>
      <c r="C942" s="278"/>
      <c r="D942" s="8"/>
      <c r="E942" s="27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278"/>
      <c r="C943" s="278"/>
      <c r="D943" s="8"/>
      <c r="E943" s="27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278"/>
      <c r="C944" s="278"/>
      <c r="D944" s="8"/>
      <c r="E944" s="27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278"/>
      <c r="C945" s="278"/>
      <c r="D945" s="8"/>
      <c r="E945" s="27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278"/>
      <c r="C946" s="278"/>
      <c r="D946" s="8"/>
      <c r="E946" s="27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278"/>
      <c r="C947" s="278"/>
      <c r="D947" s="8"/>
      <c r="E947" s="27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278"/>
      <c r="C948" s="278"/>
      <c r="D948" s="8"/>
      <c r="E948" s="27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278"/>
      <c r="C949" s="278"/>
      <c r="D949" s="8"/>
      <c r="E949" s="27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278"/>
      <c r="C950" s="278"/>
      <c r="D950" s="8"/>
      <c r="E950" s="27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278"/>
      <c r="C951" s="278"/>
      <c r="D951" s="8"/>
      <c r="E951" s="27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278"/>
      <c r="C952" s="278"/>
      <c r="D952" s="8"/>
      <c r="E952" s="27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278"/>
      <c r="C953" s="278"/>
      <c r="D953" s="8"/>
      <c r="E953" s="27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278"/>
      <c r="C954" s="278"/>
      <c r="D954" s="8"/>
      <c r="E954" s="27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278"/>
      <c r="C955" s="278"/>
      <c r="D955" s="8"/>
      <c r="E955" s="27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278"/>
      <c r="C956" s="278"/>
      <c r="D956" s="8"/>
      <c r="E956" s="27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278"/>
      <c r="C957" s="278"/>
      <c r="D957" s="8"/>
      <c r="E957" s="27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278"/>
      <c r="C958" s="278"/>
      <c r="D958" s="8"/>
      <c r="E958" s="27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278"/>
      <c r="C959" s="278"/>
      <c r="D959" s="8"/>
      <c r="E959" s="27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278"/>
      <c r="C960" s="278"/>
      <c r="D960" s="8"/>
      <c r="E960" s="27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278"/>
      <c r="C961" s="278"/>
      <c r="D961" s="8"/>
      <c r="E961" s="27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278"/>
      <c r="C962" s="278"/>
      <c r="D962" s="8"/>
      <c r="E962" s="27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278"/>
      <c r="C963" s="278"/>
      <c r="D963" s="8"/>
      <c r="E963" s="27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278"/>
      <c r="C964" s="278"/>
      <c r="D964" s="8"/>
      <c r="E964" s="27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278"/>
      <c r="C965" s="278"/>
      <c r="D965" s="8"/>
      <c r="E965" s="27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278"/>
      <c r="C966" s="278"/>
      <c r="D966" s="8"/>
      <c r="E966" s="27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278"/>
      <c r="C967" s="278"/>
      <c r="D967" s="8"/>
      <c r="E967" s="27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278"/>
      <c r="C968" s="278"/>
      <c r="D968" s="8"/>
      <c r="E968" s="27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278"/>
      <c r="C969" s="278"/>
      <c r="D969" s="8"/>
      <c r="E969" s="27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278"/>
      <c r="C970" s="278"/>
      <c r="D970" s="8"/>
      <c r="E970" s="27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278"/>
      <c r="C971" s="278"/>
      <c r="D971" s="8"/>
      <c r="E971" s="27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278"/>
      <c r="C972" s="278"/>
      <c r="D972" s="8"/>
      <c r="E972" s="27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278"/>
      <c r="C973" s="278"/>
      <c r="D973" s="8"/>
      <c r="E973" s="27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278"/>
      <c r="C974" s="278"/>
      <c r="D974" s="8"/>
      <c r="E974" s="27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278"/>
      <c r="C975" s="278"/>
      <c r="D975" s="8"/>
      <c r="E975" s="27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278"/>
      <c r="C976" s="278"/>
      <c r="D976" s="8"/>
      <c r="E976" s="27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278"/>
      <c r="C977" s="278"/>
      <c r="D977" s="8"/>
      <c r="E977" s="27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278"/>
      <c r="C978" s="278"/>
      <c r="D978" s="8"/>
      <c r="E978" s="27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278"/>
      <c r="C979" s="278"/>
      <c r="D979" s="8"/>
      <c r="E979" s="27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278"/>
      <c r="C980" s="278"/>
      <c r="D980" s="8"/>
      <c r="E980" s="27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278"/>
      <c r="C981" s="278"/>
      <c r="D981" s="8"/>
      <c r="E981" s="27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278"/>
      <c r="C982" s="278"/>
      <c r="D982" s="8"/>
      <c r="E982" s="27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278"/>
      <c r="C983" s="278"/>
      <c r="D983" s="8"/>
      <c r="E983" s="27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278"/>
      <c r="C984" s="278"/>
      <c r="D984" s="8"/>
      <c r="E984" s="27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278"/>
      <c r="C985" s="278"/>
      <c r="D985" s="8"/>
      <c r="E985" s="27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278"/>
      <c r="C986" s="278"/>
      <c r="D986" s="8"/>
      <c r="E986" s="27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278"/>
      <c r="C987" s="278"/>
      <c r="D987" s="8"/>
      <c r="E987" s="27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278"/>
      <c r="C988" s="278"/>
      <c r="D988" s="8"/>
      <c r="E988" s="27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278"/>
      <c r="C989" s="278"/>
      <c r="D989" s="8"/>
      <c r="E989" s="27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278"/>
      <c r="C990" s="278"/>
      <c r="D990" s="8"/>
      <c r="E990" s="27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278"/>
      <c r="C991" s="278"/>
      <c r="D991" s="8"/>
      <c r="E991" s="27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278"/>
      <c r="C992" s="278"/>
      <c r="D992" s="8"/>
      <c r="E992" s="27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278"/>
      <c r="C993" s="278"/>
      <c r="D993" s="8"/>
      <c r="E993" s="27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278"/>
      <c r="C994" s="278"/>
      <c r="D994" s="8"/>
      <c r="E994" s="27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278"/>
      <c r="C995" s="278"/>
      <c r="D995" s="8"/>
      <c r="E995" s="27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278"/>
      <c r="C996" s="278"/>
      <c r="D996" s="8"/>
      <c r="E996" s="27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278"/>
      <c r="C997" s="278"/>
      <c r="D997" s="8"/>
      <c r="E997" s="27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278"/>
      <c r="C998" s="278"/>
      <c r="D998" s="8"/>
      <c r="E998" s="27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278"/>
      <c r="C999" s="278"/>
      <c r="D999" s="8"/>
      <c r="E999" s="27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278"/>
      <c r="C1000" s="278"/>
      <c r="D1000" s="8"/>
      <c r="E1000" s="27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">
    <mergeCell ref="F4:H4"/>
    <mergeCell ref="N4:R4"/>
    <mergeCell ref="S4:T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2024-08-23T10:01:27Z</dcterms:created>
  <dc:creator>Ken ISHIHARA</dc:creator>
</cp:coreProperties>
</file>